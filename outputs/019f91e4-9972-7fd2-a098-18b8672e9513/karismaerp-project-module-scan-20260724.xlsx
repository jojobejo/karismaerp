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0425" activeTab="1"/>
  </bookViews>
  <sheets>
    <sheet name="Ringkasan" sheetId="1" r:id="rId1"/>
    <sheet name="Modul Sistem" sheetId="2" r:id="rId2"/>
    <sheet name="Data Start-End" sheetId="3" r:id="rId3"/>
    <sheet name="Database Summary" sheetId="4" r:id="rId4"/>
    <sheet name="Database Tables" sheetId="5" r:id="rId5"/>
    <sheet name="Temuan Risiko" sheetId="6" r:id="rId6"/>
    <sheet name="Metodologi" sheetId="7" r:id="rId7"/>
  </sheets>
  <calcPr calcId="145621"/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<sst xmlns="http://schemas.openxmlformats.org/spreadsheetml/2006/main" count="1797" uniqueCount="702">
  <si>
    <t>KARISMA ERP - Project Module Scan</t>
  </si>
  <si>
    <t>Laporan Excel hasil scan sistem dan database | 2026-07-24 | read-only</t>
  </si>
  <si>
    <t>Indikator</t>
  </si>
  <si>
    <t>Nilai</t>
  </si>
  <si>
    <t>Jumlah modul terinventarisasi</t>
  </si>
  <si>
    <t>Modul aktif</t>
  </si>
  <si>
    <t>Modul partial/legacy/orphan</t>
  </si>
  <si>
    <t>Data range yang terdokumentasi</t>
  </si>
  <si>
    <t>Object database lokal</t>
  </si>
  <si>
    <t>Status sumber database</t>
  </si>
  <si>
    <t>Sumber</t>
  </si>
  <si>
    <t>Status</t>
  </si>
  <si>
    <t>Object</t>
  </si>
  <si>
    <t>Catatan</t>
  </si>
  <si>
    <t>Git baseline config -&gt; u471548307_karismaerp</t>
  </si>
  <si>
    <t>Tidak tersedia lokal</t>
  </si>
  <si>
    <t>-</t>
  </si>
  <si>
    <t>Tidak muncul pada SHOW DATABASES</t>
  </si>
  <si>
    <t>Working tree config -&gt; kiucoid_karismaerp_local</t>
  </si>
  <si>
    <t>Tersedia</t>
  </si>
  <si>
    <t>259 object</t>
  </si>
  <si>
    <t>Perubahan uncommitted bukan dibuat oleh scan</t>
  </si>
  <si>
    <t>kiucoid_karismaerp</t>
  </si>
  <si>
    <t>Tersedia pembanding</t>
  </si>
  <si>
    <t>162 object</t>
  </si>
  <si>
    <t>154 tabel InnoDB + 8 view</t>
  </si>
  <si>
    <t>kiucoid_karismaerp_dev</t>
  </si>
  <si>
    <t>Tersedia dev</t>
  </si>
  <si>
    <t>16 object</t>
  </si>
  <si>
    <t>Database pengembangan/eksperimen</t>
  </si>
  <si>
    <t>Periode data utama</t>
  </si>
  <si>
    <t>Area</t>
  </si>
  <si>
    <t>Mulai</t>
  </si>
  <si>
    <t>Akhir</t>
  </si>
  <si>
    <t>PO nonkomersil</t>
  </si>
  <si>
    <t>tbpo_po_nk / tbpo_req_nk</t>
  </si>
  <si>
    <t>Sales &amp; DO</t>
  </si>
  <si>
    <t>SO, faktur, delivery detail</t>
  </si>
  <si>
    <t>Stock engine</t>
  </si>
  <si>
    <t>tberp_stock_batch / ledger</t>
  </si>
  <si>
    <t>LPB</t>
  </si>
  <si>
    <t>tb_lpb / tb_lpb_detail</t>
  </si>
  <si>
    <t>Accounting jurnal</t>
  </si>
  <si>
    <t>Semua snapshot POSTED</t>
  </si>
  <si>
    <t>Stock Opname</t>
  </si>
  <si>
    <t>Master, item, opname, pending</t>
  </si>
  <si>
    <t>Daftar Modul Sistem</t>
  </si>
  <si>
    <t>Route, controller/model/view, deskripsi, dan status kematangan modul.</t>
  </si>
  <si>
    <t>Modul</t>
  </si>
  <si>
    <t>Deskripsi singkat</t>
  </si>
  <si>
    <t>Komponen kode utama</t>
  </si>
  <si>
    <t>Route / endpoint utama</t>
  </si>
  <si>
    <t>Status scan</t>
  </si>
  <si>
    <t>Bukti / catatan</t>
  </si>
  <si>
    <t>Portal, Auth, Dashboard</t>
  </si>
  <si>
    <t>Landing page, login, logout, redirect, dan dashboard awal.</t>
  </si>
  <si>
    <t>Portal.php; Auth.php; Dashboard.php; M_Auth.php; M_Dashboard.php</t>
  </si>
  <si>
    <t>portal; auth; process; logout; dashboard</t>
  </si>
  <si>
    <t>Aktif</t>
  </si>
  <si>
    <t>5 route utama</t>
  </si>
  <si>
    <t>Master user dan otorisasi</t>
  </si>
  <si>
    <t>User, jobdesk, level akses, menu, permission matrix, dan sidebar dinamis.</t>
  </si>
  <si>
    <t>master/C_Usermanagement.php; C_Jobdesk.php; C_Akseslevel.php; C_Menu.php</t>
  </si>
  <si>
    <t>master/*</t>
  </si>
  <si>
    <t>30 route; 42 method controller</t>
  </si>
  <si>
    <t>Master barang, supplier, customer, gudang, satuan, pajak</t>
  </si>
  <si>
    <t>Master referensi untuk purchasing, sales, stock, dan logistik.</t>
  </si>
  <si>
    <t>keuangan/C_Keuangan.php; logistik/C_Ics.php; HMVC kiupo</t>
  </si>
  <si>
    <t>master_barang; master_customer; ics/master_barang; ics/gudang</t>
  </si>
  <si>
    <t>Aktif - legacy overlap</t>
  </si>
  <si>
    <t>Shared master layer</t>
  </si>
  <si>
    <t>Purchasing PO komersil</t>
  </si>
  <si>
    <t>PO supplier komersil, item, harga, diskon, tax, dan penerimaan.</t>
  </si>
  <si>
    <t>logistik/C_Ics.php; M_Ics.php; C_Keuangan.php; M_Keuangan.php</t>
  </si>
  <si>
    <t>ics/icspo; ics/detail_po; logistik/lpb</t>
  </si>
  <si>
    <t>PO -&gt; LPB</t>
  </si>
  <si>
    <t>Purchasing PO nonkomersil / PONK</t>
  </si>
  <si>
    <t>Request barang nonkomersil, PIC, approval, status, revisi, print, dan histori.</t>
  </si>
  <si>
    <t>application/modules/kiupo/controllers/purchaseorder/*; postatus/*</t>
  </si>
  <si>
    <t>PO routes pada routes.php dan kiupo/routes.php</t>
  </si>
  <si>
    <t>Legacy/HMVC</t>
  </si>
  <si>
    <t>Perlu runtime validation</t>
  </si>
  <si>
    <t>Stock dan kartu stock</t>
  </si>
  <si>
    <t>Stock per gudang, batch/lot/expired, saldo awal, minimum stock, dan rekonsiliasi.</t>
  </si>
  <si>
    <t>stock/C_Stock.php; M_Stock.php; M_Stockbuffer.php; M_Keuangan.php</t>
  </si>
  <si>
    <t>stock/*; keuangan/*; ics/*; logistik/stock</t>
  </si>
  <si>
    <t>Stock engine modern dan legacy</t>
  </si>
  <si>
    <t>ICS operasional</t>
  </si>
  <si>
    <t>Inventory Control System untuk stock masuk/keluar, lot, expired, histori, dan sinkronisasi.</t>
  </si>
  <si>
    <t>logistik/C_Ics.php; M_Ics.php; content/logistik/ics/*</t>
  </si>
  <si>
    <t>ics/*; sekitar 143 route target C_Ics</t>
  </si>
  <si>
    <t>166 method controller</t>
  </si>
  <si>
    <t>LPB / penerimaan barang</t>
  </si>
  <si>
    <t>Penerimaan PO, qty/lot, nomor LPB, invoice/faktur pajak, harga, verifikasi, post/unpost, print, log.</t>
  </si>
  <si>
    <t>C_Ics.php; M_Logistik.php; M_LpbPriceAdjustment.php</t>
  </si>
  <si>
    <t>ics/detail_po; ics/detail_record_lpb; ics/lpb_manual; ics/ajax_*lpb*</t>
  </si>
  <si>
    <t>Status LPB terpisah dari verifikasi harga</t>
  </si>
  <si>
    <t>Mutasi antar gudang</t>
  </si>
  <si>
    <t>Draft, lot/expired, validasi stock, rekam, rollback, delete, dan unpost mutasi.</t>
  </si>
  <si>
    <t>C_Ics.php; M_Ics.php; content/logistik/ics/mutasi_barang*</t>
  </si>
  <si>
    <t>ics/mutasi_barang/*; AJAX mutasi</t>
  </si>
  <si>
    <t>Aktif - volume kecil</t>
  </si>
  <si>
    <t>2 header mutasi pada snapshot</t>
  </si>
  <si>
    <t>Sales Order</t>
  </si>
  <si>
    <t>SO, approval, stock check, plafon customer, faktur, split faktur, rute, dan aktivitas.</t>
  </si>
  <si>
    <t>sales/C_SalesOrder.php; M_SalesOrder.php; M_Stock.php; M_Logistik.php</t>
  </si>
  <si>
    <t>sales_order/*</t>
  </si>
  <si>
    <t>74 method controller</t>
  </si>
  <si>
    <t>Delivery Order dan loading</t>
  </si>
  <si>
    <t>DO dari SO, detail pengiriman, loading, verifikasi loading, rute, driver, dan status.</t>
  </si>
  <si>
    <t>logistik/C_Logistik.php; C_Checker.php; C_Distribusi.php</t>
  </si>
  <si>
    <t>logistik/*; sales_order/list_do; so_siap_loading/*</t>
  </si>
  <si>
    <t>DO, loading KK/LK</t>
  </si>
  <si>
    <t>Distribusi dan checker</t>
  </si>
  <si>
    <t>Driver/helper, rute, tonase, produktivitas, bongkaran, checklist kendaraan, monitoring loading.</t>
  </si>
  <si>
    <t>C_Distribusi.php; C_Checker.php; M_Distribusi.php; M_Checker.php</t>
  </si>
  <si>
    <t>logistik/distibusi/*; checker routes</t>
  </si>
  <si>
    <t>17 route distribusi; 75 checker</t>
  </si>
  <si>
    <t>Retur penjualan</t>
  </si>
  <si>
    <t>SPR, approval berjenjang, cek fisik, proses retur, collection, kasir, history, dan print.</t>
  </si>
  <si>
    <t>sales/C_ReturPenjualan.php; M_ReturPenjualan.php</t>
  </si>
  <si>
    <t>retur_penjualan/*; ics/retur/penjualan</t>
  </si>
  <si>
    <t>Aktif - data kosong</t>
  </si>
  <si>
    <t>58 method controller</t>
  </si>
  <si>
    <t>Retur pembelian</t>
  </si>
  <si>
    <t>Retur berbasis LPB, detail lot, verifikasi Purchasing/Accounting, posting, void, reversal, adjustment.</t>
  </si>
  <si>
    <t>C_Ics.php; M_ReturPembelian.php; M_LpbPriceAdjustment.php</t>
  </si>
  <si>
    <t>ics/retur/pembelian/*</t>
  </si>
  <si>
    <t>3 header POSTED</t>
  </si>
  <si>
    <t>Master item, input scan/manual, QR/barcode, pending, supervisor, monitoring, compare, repost, export.</t>
  </si>
  <si>
    <t>admin/C_Stockopname.php; admin/M_Stockopname.php</t>
  </si>
  <si>
    <t>admin/stockopname/*; stockopname/*; supervisi-opname</t>
  </si>
  <si>
    <t>89 route; 117 method controller</t>
  </si>
  <si>
    <t>Accounting dan Jurnal</t>
  </si>
  <si>
    <t>COA, klasifikasi, jurnal, detail, periode fiskal, posting/reversal, exception, laporan, integrasi sumber.</t>
  </si>
  <si>
    <t>keuangan/C_Accounting.php; C_Keuangan.php; M_Keuangan.php; M_Journal.php; Accounting_service.php</t>
  </si>
  <si>
    <t>accounting/*; jurnal/*; keuangan/jurnal/*</t>
  </si>
  <si>
    <t>Aktif - snapshot kecil</t>
  </si>
  <si>
    <t>9 jurnal POSTED</t>
  </si>
  <si>
    <t>Pembayaran faktur</t>
  </si>
  <si>
    <t>Pembayaran customer/supplier, pencairan BG, alokasi, dan jurnal pembayaran.</t>
  </si>
  <si>
    <t>keuangan/C_pembayaran.php; M_pembayaran.php; M_Journal.php</t>
  </si>
  <si>
    <t>keuangan/pembayaran/*; jurnal/payment-list</t>
  </si>
  <si>
    <t>Kode tersedia - data kosong</t>
  </si>
  <si>
    <t>tbkeu_pembayaran_faktur = 0</t>
  </si>
  <si>
    <t>Laporan dan import/export</t>
  </si>
  <si>
    <t>Laporan penjualan, pembelian, barang, kartu stock, distribusi, CSV import, Excel export, API stock.</t>
  </si>
  <si>
    <t>keuangan/C_Laporan.php; CsvController.php; C_ExportStock.php; C_Api.php; C_Zahir.php</t>
  </si>
  <si>
    <t>laporan/*; csv_import*; api/*; export routes</t>
  </si>
  <si>
    <t>Utility layer</t>
  </si>
  <si>
    <t>Mengambil data modul lain</t>
  </si>
  <si>
    <t>HRD / penilaian lingkungan</t>
  </si>
  <si>
    <t>Isu lingkungan, evidence, rating, status, lokasi, monitoring, statistik, mobile ERP, tamu, karyawan, service.</t>
  </si>
  <si>
    <t>hrd/C_Hrd.php; M_Hrd.php; content/hrd; mobile_erp</t>
  </si>
  <si>
    <t>penilaian_lingkungan; hrd/penilaian_lingkungan/*; mobile-erp/*</t>
  </si>
  <si>
    <t>64 method controller</t>
  </si>
  <si>
    <t>KPI / penilaian kinerja</t>
  </si>
  <si>
    <t>Dashboard KPI dan indikator What/How.</t>
  </si>
  <si>
    <t>kpi/C_Kpi.php; M_Kpi.php; content/kpi/*</t>
  </si>
  <si>
    <t>Route KPI eksplisit tidak terlihat pada registry utama</t>
  </si>
  <si>
    <t>Partial/orphan</t>
  </si>
  <si>
    <t>Controller/view tersedia</t>
  </si>
  <si>
    <t>Schedule direktur dan tamu</t>
  </si>
  <si>
    <t>Jadwal tamu/agenda direktur dan aksi status jadwal.</t>
  </si>
  <si>
    <t>schedule/C_Schedule.php; M_Hrd.php; content/schedule</t>
  </si>
  <si>
    <t>schedule_direktur; act_schedule/*</t>
  </si>
  <si>
    <t>Aktif - historis</t>
  </si>
  <si>
    <t>18 row snapshot</t>
  </si>
  <si>
    <t>Extravaganza / undian</t>
  </si>
  <si>
    <t>Registrasi customer undian dan penyimpanan pemenang.</t>
  </si>
  <si>
    <t>extravaganza/C_Extravaganza.php; M_Extravaganza.php</t>
  </si>
  <si>
    <t>extravaganza*</t>
  </si>
  <si>
    <t>99 peserta; 43 pemenang</t>
  </si>
  <si>
    <t>Inventaris</t>
  </si>
  <si>
    <t>CRUD inventaris aset dan pemilik/departemen.</t>
  </si>
  <si>
    <t>inventaris/C_Inventaris.php; M_Inventaris.php; content/inventaris</t>
  </si>
  <si>
    <t>Route inventaris tidak terlihat pada routes.php</t>
  </si>
  <si>
    <t>Perlu route dan validasi flow</t>
  </si>
  <si>
    <t>Maintenance</t>
  </si>
  <si>
    <t>Halaman placeholder maintenance.</t>
  </si>
  <si>
    <t>maintenance/C_Maintenance.php</t>
  </si>
  <si>
    <t>Tidak ada route aktif yang jelas</t>
  </si>
  <si>
    <t>Belum operasional</t>
  </si>
  <si>
    <t>Index belum memuat model valid</t>
  </si>
  <si>
    <t>Request Design</t>
  </si>
  <si>
    <t>Varian layar inventaris untuk request design.</t>
  </si>
  <si>
    <t>requestdesign/C_requestdesign.php; M_Requestdesign.php; content/requestdesign</t>
  </si>
  <si>
    <t>Controller masih memanggil M_Inventaris</t>
  </si>
  <si>
    <t>API dan integrasi eksternal</t>
  </si>
  <si>
    <t>API stock/internal, sinkronisasi Zahir, import data, dan API plafon customer.</t>
  </si>
  <si>
    <t>api/C_Api.php; M_api.php; zahir/C_Zahir.php; Sales Order config</t>
  </si>
  <si>
    <t>api/*; api/v1/stock/*; data_lpb_zahir</t>
  </si>
  <si>
    <t>Terdistribusi</t>
  </si>
  <si>
    <t>Runtime integrasi belum diuji</t>
  </si>
  <si>
    <t>Data Start-End per Modul</t>
  </si>
  <si>
    <t>Rentang tanggal bisnis dari database lokal kiucoid_karismaerp_local; tanggal TEXT legacy sudah dinormalisasi untuk agregat.</t>
  </si>
  <si>
    <t>Tabel sumber</t>
  </si>
  <si>
    <t>Row snapshot</t>
  </si>
  <si>
    <t>Data mulai</t>
  </si>
  <si>
    <t>Data akhir</t>
  </si>
  <si>
    <t>Basis tanggal</t>
  </si>
  <si>
    <t>Auth / user</t>
  </si>
  <si>
    <t>tb_users</t>
  </si>
  <si>
    <t>created_at</t>
  </si>
  <si>
    <t>Legacy tb_user: 151 row, 2023-08-22 s.d. 2026-01-29</t>
  </si>
  <si>
    <t>Master barang</t>
  </si>
  <si>
    <t>tb_master_barang</t>
  </si>
  <si>
    <t>Tidak tersedia</t>
  </si>
  <si>
    <t>Tidak ada kolom tanggal pembuatan; master lain: tb_master_barang_all ±5.982, tb_barangv2 ±5.742</t>
  </si>
  <si>
    <t>Customer</t>
  </si>
  <si>
    <t>tb_customer</t>
  </si>
  <si>
    <t>Tidak ada create date pada tabel yang dipakai</t>
  </si>
  <si>
    <t>Supplier</t>
  </si>
  <si>
    <t>tb_suplier</t>
  </si>
  <si>
    <t>Tabel legacy supplier tidak memiliki create date</t>
  </si>
  <si>
    <t>Gudang / satuan / pajak</t>
  </si>
  <si>
    <t>tb_gudang; tb_satuan; tb_set_tax</t>
  </si>
  <si>
    <t>Row pendukung: 4 / 23 / 4</t>
  </si>
  <si>
    <t>PO komersil</t>
  </si>
  <si>
    <t>tbpo_po + tbpo_detail_po</t>
  </si>
  <si>
    <t>tgl_transaksi</t>
  </si>
  <si>
    <t>Detail PO: 5 row; snapshot sangat kecil</t>
  </si>
  <si>
    <t>tbpo_po_nk</t>
  </si>
  <si>
    <t>tgl_transaksi TEXT</t>
  </si>
  <si>
    <t>Format tanggal campuran</t>
  </si>
  <si>
    <t>Request PO nonkomersil</t>
  </si>
  <si>
    <t>tbpo_req_nk</t>
  </si>
  <si>
    <t>Terpisah dari PO yang sudah terbentuk</t>
  </si>
  <si>
    <t>ICS stock</t>
  </si>
  <si>
    <t>tb_ics</t>
  </si>
  <si>
    <t>input_at TEXT</t>
  </si>
  <si>
    <t>Format tanggal slash</t>
  </si>
  <si>
    <t>ICS DO</t>
  </si>
  <si>
    <t>tb_ics_do</t>
  </si>
  <si>
    <t>Placeholder 01/01/1970 diabaikan</t>
  </si>
  <si>
    <t>ICS PO</t>
  </si>
  <si>
    <t>tb_ics_po</t>
  </si>
  <si>
    <t>Tabel legacy penerimaan/PO ICS</t>
  </si>
  <si>
    <t>LPB header</t>
  </si>
  <si>
    <t>tb_lpb</t>
  </si>
  <si>
    <t>tgl_sj</t>
  </si>
  <si>
    <t>Status: 4 nilai 0 dan 4 nilai 1</t>
  </si>
  <si>
    <t>LPB detail</t>
  </si>
  <si>
    <t>tb_lpb_detail</t>
  </si>
  <si>
    <t>input_at</t>
  </si>
  <si>
    <t>Detail harga, qty, lot</t>
  </si>
  <si>
    <t>LPB price adjustment</t>
  </si>
  <si>
    <t>tb_lpb_price_adjustment</t>
  </si>
  <si>
    <t>tanggal_adjustment</t>
  </si>
  <si>
    <t>1 row</t>
  </si>
  <si>
    <t>Mutasi gudang</t>
  </si>
  <si>
    <t>tb_mutasi + tb_detail_mutasi</t>
  </si>
  <si>
    <t>2 header + 2 detail</t>
  </si>
  <si>
    <t>Stock batch dan ledger</t>
  </si>
  <si>
    <t>tberp_stock_batch + tberp_stock_ledger</t>
  </si>
  <si>
    <t>Ledger: 10.317 row</t>
  </si>
  <si>
    <t>Saldo awal</t>
  </si>
  <si>
    <t>tb_saldo_awal</t>
  </si>
  <si>
    <t>Tidak ada tanggal transaksi yang konsisten</t>
  </si>
  <si>
    <t>tbso_sales_order + detail</t>
  </si>
  <si>
    <t>tanggal_transaksi</t>
  </si>
  <si>
    <t>Detail: 37 row; status open 1, siap_faktur 3, partial 2, completed 13</t>
  </si>
  <si>
    <t>Faktur penjualan</t>
  </si>
  <si>
    <t>tbso_faktur_penjualan + detail</t>
  </si>
  <si>
    <t>tanggal_faktur</t>
  </si>
  <si>
    <t>Detail: 31 row</t>
  </si>
  <si>
    <t>Delivery Order</t>
  </si>
  <si>
    <t>tb_do + tb_detail_do</t>
  </si>
  <si>
    <t>tgl_pengiriman / tgl_transaksi</t>
  </si>
  <si>
    <t>Detail: 5.343 row; legacy TEXT</t>
  </si>
  <si>
    <t>Loading</t>
  </si>
  <si>
    <t>tb_loading_kk + tb_loading_lk</t>
  </si>
  <si>
    <t>tgl</t>
  </si>
  <si>
    <t>KK 62 row + LK 67 row</t>
  </si>
  <si>
    <t>Distribusi</t>
  </si>
  <si>
    <t>tb_lap_distribusi</t>
  </si>
  <si>
    <t>create_at</t>
  </si>
  <si>
    <t>Laporan perjalanan/distribusi</t>
  </si>
  <si>
    <t>Retur penjualan / SPR</t>
  </si>
  <si>
    <t>tbrp_spr_header + tbrp_retur_penjualan_header</t>
  </si>
  <si>
    <t>Tidak ada data</t>
  </si>
  <si>
    <t>Schema modern tersedia, transaksi snapshot kosong</t>
  </si>
  <si>
    <t>tb_retur_pembelian + detail</t>
  </si>
  <si>
    <t>tanggal_retur</t>
  </si>
  <si>
    <t>Detail: 3 row; seluruh header POSTED</t>
  </si>
  <si>
    <t>stockopname_master; master_item; opname; pending</t>
  </si>
  <si>
    <t>create_at / created_at</t>
  </si>
  <si>
    <t>670 / 3.444 / 747 / 31 row</t>
  </si>
  <si>
    <t>HRD penilaian lingkungan</t>
  </si>
  <si>
    <t>tbhrd_environment_issues</t>
  </si>
  <si>
    <t>report_datetime</t>
  </si>
  <si>
    <t>Evidence 7; log 10; rating 5</t>
  </si>
  <si>
    <t>KPI</t>
  </si>
  <si>
    <t>tb_kpi_history</t>
  </si>
  <si>
    <t>Master tb_kpi ±584 row tanpa tanggal bisnis</t>
  </si>
  <si>
    <t>tbkeu_jurnal + detail</t>
  </si>
  <si>
    <t>Detail: 27 row; semua POSTED</t>
  </si>
  <si>
    <t>Accounting payment</t>
  </si>
  <si>
    <t>tbkeu_pembayaran_faktur</t>
  </si>
  <si>
    <t>Schema tersedia tetapi tabel kosong</t>
  </si>
  <si>
    <t>Schedule direktur</t>
  </si>
  <si>
    <t>tb_schedule_dirut</t>
  </si>
  <si>
    <t>tanggal</t>
  </si>
  <si>
    <t>Data historis lama</t>
  </si>
  <si>
    <t>Vehicle checklist</t>
  </si>
  <si>
    <t>tb_checklist_kendaraan</t>
  </si>
  <si>
    <t>tanggal_check</t>
  </si>
  <si>
    <t>Detail ±23.952 row</t>
  </si>
  <si>
    <t>Maintenance truck</t>
  </si>
  <si>
    <t>tb_service_truk</t>
  </si>
  <si>
    <t>Tidak ada tanggal bisnis standar pada agregat ini</t>
  </si>
  <si>
    <t>Feedback</t>
  </si>
  <si>
    <t>tb_feedback</t>
  </si>
  <si>
    <t>tanggal_buat</t>
  </si>
  <si>
    <t>3 row</t>
  </si>
  <si>
    <t>tb_customer_list_undian; tb_pemenang</t>
  </si>
  <si>
    <t>99 peserta + 43 pemenang; tidak ada tanggal konsisten</t>
  </si>
  <si>
    <t>Database Summary</t>
  </si>
  <si>
    <t>Ringkasan keluarga tabel dan struktur metadata database lokal.</t>
  </si>
  <si>
    <t>Keluarga tabel</t>
  </si>
  <si>
    <t>Jumlah tabel</t>
  </si>
  <si>
    <t>Estimasi row</t>
  </si>
  <si>
    <t>Peran</t>
  </si>
  <si>
    <t>tbkeu_*</t>
  </si>
  <si>
    <t>Accounting, COA, jurnal, periode, mapping, exception, saldo awal, pembayaran</t>
  </si>
  <si>
    <t>tbpo_*</t>
  </si>
  <si>
    <t>PO komersil/nonkomersil, request, master barang PO, supplier, setting, temporary</t>
  </si>
  <si>
    <t>tbso_*</t>
  </si>
  <si>
    <t>Sales Order, faktur penjualan, detail, reservasi stock</t>
  </si>
  <si>
    <t>tbhrd_*</t>
  </si>
  <si>
    <t>Isu lingkungan, lokasi, status, rating, evidence, log</t>
  </si>
  <si>
    <t>stockopname_*</t>
  </si>
  <si>
    <t>Master opname, item, opname, pending, manual, log, recycle bin</t>
  </si>
  <si>
    <t>tberp_*</t>
  </si>
  <si>
    <t>Stock batch dan stock ledger</t>
  </si>
  <si>
    <t>tbar_*</t>
  </si>
  <si>
    <t>KPI/AR lama, indikator What/How, arsip</t>
  </si>
  <si>
    <t>tbsim_*</t>
  </si>
  <si>
    <t>Master KPI/indikator SIM</t>
  </si>
  <si>
    <t>tbrp_*</t>
  </si>
  <si>
    <t>Retur penjualan modern; belum ada row</t>
  </si>
  <si>
    <t>tb_* legacy/operasional lain</t>
  </si>
  <si>
    <t>Auth, master, ICS, DO, loading, distribusi, retur lama, stock lama, HRD lama</t>
  </si>
  <si>
    <t>Metadata struktur</t>
  </si>
  <si>
    <t>Database utama angka</t>
  </si>
  <si>
    <t>kiucoid_karismaerp_local</t>
  </si>
  <si>
    <t>Kolom</t>
  </si>
  <si>
    <t>Foreign key</t>
  </si>
  <si>
    <t>Engine</t>
  </si>
  <si>
    <t>258 InnoDB + 1 view</t>
  </si>
  <si>
    <t>Database Tables</t>
  </si>
  <si>
    <t>Daftar object database lokal; table_rows InnoDB adalah estimasi metadata MariaDB.</t>
  </si>
  <si>
    <t>Nama object</t>
  </si>
  <si>
    <t>Tipe</t>
  </si>
  <si>
    <t>Create time</t>
  </si>
  <si>
    <t>Update time</t>
  </si>
  <si>
    <t>Keluarga modul</t>
  </si>
  <si>
    <t>cctv_tracking</t>
  </si>
  <si>
    <t>BASE TABLE</t>
  </si>
  <si>
    <t>InnoDB</t>
  </si>
  <si>
    <t>2026-07-15 14:28:19</t>
  </si>
  <si>
    <t>Legacy/Operasional</t>
  </si>
  <si>
    <t>stockopname_master</t>
  </si>
  <si>
    <t>stockopname_master_box</t>
  </si>
  <si>
    <t>stockopname_master_item</t>
  </si>
  <si>
    <t>stockopname_master_manual_item</t>
  </si>
  <si>
    <t>stockopname_opname</t>
  </si>
  <si>
    <t>stockopname_opname_log</t>
  </si>
  <si>
    <t>stockopname_opname_manual</t>
  </si>
  <si>
    <t>stockopname_pending</t>
  </si>
  <si>
    <t>stockopname_recyclebin_input</t>
  </si>
  <si>
    <t>tbar_archive</t>
  </si>
  <si>
    <t>tbar_bobotkpi</t>
  </si>
  <si>
    <t>tbar_hows</t>
  </si>
  <si>
    <t>tbar_indikator_hows</t>
  </si>
  <si>
    <t>tbar_indikator_whats</t>
  </si>
  <si>
    <t>tbar_kpi</t>
  </si>
  <si>
    <t>tbar_sp_archive</t>
  </si>
  <si>
    <t>tbar_whats</t>
  </si>
  <si>
    <t>tberp_stock_batch</t>
  </si>
  <si>
    <t>2026-07-24 10:00:27</t>
  </si>
  <si>
    <t>Stock Engine</t>
  </si>
  <si>
    <t>tberp_stock_ledger</t>
  </si>
  <si>
    <t>HRD</t>
  </si>
  <si>
    <t>tbhrd_issue_evidences</t>
  </si>
  <si>
    <t>tbhrd_issue_logs</t>
  </si>
  <si>
    <t>tbhrd_issue_rating</t>
  </si>
  <si>
    <t>tbhrd_issue_status</t>
  </si>
  <si>
    <t>tbhrd_lokasi</t>
  </si>
  <si>
    <t>tbhrd_nilai_lingkungan</t>
  </si>
  <si>
    <t>tbkeu_akun</t>
  </si>
  <si>
    <t>Accounting</t>
  </si>
  <si>
    <t>tbkeu_akun_karismaerp_ref</t>
  </si>
  <si>
    <t>2026-07-15 14:28:46</t>
  </si>
  <si>
    <t>tbkeu_dummy_source</t>
  </si>
  <si>
    <t>tbkeu_jenis_jurnal</t>
  </si>
  <si>
    <t>tbkeu_jurnal</t>
  </si>
  <si>
    <t>tbkeu_jurnal_detail</t>
  </si>
  <si>
    <t>tbkeu_jurnal_log</t>
  </si>
  <si>
    <t>tbkeu_karismaerp_import_batch</t>
  </si>
  <si>
    <t>tbkeu_karismaerp_kelompok_jurnal</t>
  </si>
  <si>
    <t>tbkeu_kelompok_dagang</t>
  </si>
  <si>
    <t>2026-07-17 08:56:28</t>
  </si>
  <si>
    <t>tbkeu_klasifikasi_akun</t>
  </si>
  <si>
    <t>tbkeu_mapping_akun</t>
  </si>
  <si>
    <t>tbkeu_nomor_dokumen</t>
  </si>
  <si>
    <t>tbkeu_pembayaran</t>
  </si>
  <si>
    <t>tbkeu_pembayaran_alokasi</t>
  </si>
  <si>
    <t>tbkeu_periode_fiskal</t>
  </si>
  <si>
    <t>tbkeu_periode_fiskal_log</t>
  </si>
  <si>
    <t>tbkeu_posting_exception</t>
  </si>
  <si>
    <t>tbkeu_report_rule_akun</t>
  </si>
  <si>
    <t>tbkeu_saldo_awal_akun</t>
  </si>
  <si>
    <t>tbkeu_saldo_normal</t>
  </si>
  <si>
    <t>tbkeu_sub_klasifikasi_akun</t>
  </si>
  <si>
    <t>tbkeu_tipe_kontrol</t>
  </si>
  <si>
    <t>tbkmt_dca</t>
  </si>
  <si>
    <t>tbkmt_dca_detail</t>
  </si>
  <si>
    <t>tbkmt_dca_kegiatan</t>
  </si>
  <si>
    <t>tbkmt_dca_verifikasi_log</t>
  </si>
  <si>
    <t>tbkmt_gaji</t>
  </si>
  <si>
    <t>tbkmt_omset</t>
  </si>
  <si>
    <t>tbkmt_operasional</t>
  </si>
  <si>
    <t>tbkmt_operasional_verifikasi_log</t>
  </si>
  <si>
    <t>tbkmt_others</t>
  </si>
  <si>
    <t>tbkmt_promo_material</t>
  </si>
  <si>
    <t>tbkmt_retur</t>
  </si>
  <si>
    <t>tbkmt_wilayah</t>
  </si>
  <si>
    <t>tbpo_akun_tr</t>
  </si>
  <si>
    <t>PO</t>
  </si>
  <si>
    <t>tbpo_barang</t>
  </si>
  <si>
    <t>2026-07-17 10:32:49</t>
  </si>
  <si>
    <t>tbpo_barang_nk</t>
  </si>
  <si>
    <t>tbpo_barang_nk_lokasi</t>
  </si>
  <si>
    <t>tbpo_barang_packaging</t>
  </si>
  <si>
    <t>tbpo_detail_po</t>
  </si>
  <si>
    <t>tbpo_detail_po_nk</t>
  </si>
  <si>
    <t>tbpo_detail_req</t>
  </si>
  <si>
    <t>tbpo_diskon</t>
  </si>
  <si>
    <t>tbpo_diskon_merk</t>
  </si>
  <si>
    <t>tbpo_file_bukti_beli</t>
  </si>
  <si>
    <t>tbpo_file_nk</t>
  </si>
  <si>
    <t>tbpo_formula</t>
  </si>
  <si>
    <t>tbpo_formula_result</t>
  </si>
  <si>
    <t>tbpo_formula_variable</t>
  </si>
  <si>
    <t>tbpo_generateqrcode</t>
  </si>
  <si>
    <t>tbpo_generate_kd</t>
  </si>
  <si>
    <t>tbpo_generate_kd_ponk</t>
  </si>
  <si>
    <t>tbpo_kat_br</t>
  </si>
  <si>
    <t>tbpo_notetemplate</t>
  </si>
  <si>
    <t>tbpo_note_barang</t>
  </si>
  <si>
    <t>tbpo_note_direktur</t>
  </si>
  <si>
    <t>tbpo_note_pembelian</t>
  </si>
  <si>
    <t>tbpo_nt_tmp_pembelian</t>
  </si>
  <si>
    <t>tbpo_po</t>
  </si>
  <si>
    <t>2026-07-15 15:13:16</t>
  </si>
  <si>
    <t>tbpo_ratings</t>
  </si>
  <si>
    <t>tbpo_req_masterbarang</t>
  </si>
  <si>
    <t>tbpo_satuan</t>
  </si>
  <si>
    <t>tbpo_set_note</t>
  </si>
  <si>
    <t>tbpo_set_tax</t>
  </si>
  <si>
    <t>tbpo_sosialisasi</t>
  </si>
  <si>
    <t>tbpo_suplier</t>
  </si>
  <si>
    <t>tbpo_tmp_diskon</t>
  </si>
  <si>
    <t>tbpo_tmp_item</t>
  </si>
  <si>
    <t>tbpo_tmp_item_nk</t>
  </si>
  <si>
    <t>tbpo_tmp_note_barang</t>
  </si>
  <si>
    <t>tbpo_tmp_tax</t>
  </si>
  <si>
    <t>tbpo_tracking_po</t>
  </si>
  <si>
    <t>tbpo_transaksi</t>
  </si>
  <si>
    <t>tbpo_transaksi_tmp</t>
  </si>
  <si>
    <t>tbpo_transaksi_trashbin</t>
  </si>
  <si>
    <t>tbpo_user</t>
  </si>
  <si>
    <t>tbq_module</t>
  </si>
  <si>
    <t>tbq_nilaim</t>
  </si>
  <si>
    <t>tbq_review_pic</t>
  </si>
  <si>
    <t>tbq_review_q</t>
  </si>
  <si>
    <t>tbrp_activity_log</t>
  </si>
  <si>
    <t>2026-07-16 10:34:02</t>
  </si>
  <si>
    <t>Retur Penjualan</t>
  </si>
  <si>
    <t>tbrp_retur_penjualan_detail</t>
  </si>
  <si>
    <t>tbrp_retur_penjualan_header</t>
  </si>
  <si>
    <t>tbrp_spr_detail</t>
  </si>
  <si>
    <t>tbrp_spr_header</t>
  </si>
  <si>
    <t>2026-07-24 10:04:39</t>
  </si>
  <si>
    <t>tbsim_bobotkpi</t>
  </si>
  <si>
    <t>tbsim_hows</t>
  </si>
  <si>
    <t>tbsim_indikator_hows</t>
  </si>
  <si>
    <t>tbsim_indikator_whats</t>
  </si>
  <si>
    <t>tbsim_kpi</t>
  </si>
  <si>
    <t>tbsim_whats</t>
  </si>
  <si>
    <t>tbso_activity_log</t>
  </si>
  <si>
    <t>Sales</t>
  </si>
  <si>
    <t>tbso_faktur_detail</t>
  </si>
  <si>
    <t>tbso_faktur_penjualan</t>
  </si>
  <si>
    <t>tbso_sales_order</t>
  </si>
  <si>
    <t>tbso_sales_order_detail</t>
  </si>
  <si>
    <t>tbso_so_approval</t>
  </si>
  <si>
    <t>tbso_stock_reservation</t>
  </si>
  <si>
    <t>tb_akses_level</t>
  </si>
  <si>
    <t>tb_akses_menu</t>
  </si>
  <si>
    <t>tb_auth</t>
  </si>
  <si>
    <t>tb_auth_backup_20260610_072706</t>
  </si>
  <si>
    <t>2026-07-15 14:27:55</t>
  </si>
  <si>
    <t>tb_barangv2</t>
  </si>
  <si>
    <t>tb_bobotkpi</t>
  </si>
  <si>
    <t>tb_bongkaran</t>
  </si>
  <si>
    <t>tb_bongkaran_checker</t>
  </si>
  <si>
    <t>tb_checklist_kendaraan_detail</t>
  </si>
  <si>
    <t>tb_checkup_mekanik_kategori</t>
  </si>
  <si>
    <t>tb_checkup_mekanik_kategori_detail</t>
  </si>
  <si>
    <t>tb_checkup_mekanik_kategori_foto</t>
  </si>
  <si>
    <t>tb_customer_list_undian</t>
  </si>
  <si>
    <t>tb_dailystock</t>
  </si>
  <si>
    <t>tb_dailystock_global</t>
  </si>
  <si>
    <t>tb_departemen</t>
  </si>
  <si>
    <t>tb_detail_do</t>
  </si>
  <si>
    <t>tb_detail_mutasi</t>
  </si>
  <si>
    <t>2026-07-20 09:05:51</t>
  </si>
  <si>
    <t>tb_detail_retur_barang</t>
  </si>
  <si>
    <t>tb_det_tracking_driver</t>
  </si>
  <si>
    <t>tb_do</t>
  </si>
  <si>
    <t>tb_editlog_faktur</t>
  </si>
  <si>
    <t>tb_eviden</t>
  </si>
  <si>
    <t>tb_eviden_backup</t>
  </si>
  <si>
    <t>tb_expedisi</t>
  </si>
  <si>
    <t>tb_gbrupload_cheklist</t>
  </si>
  <si>
    <t>tb_gudang</t>
  </si>
  <si>
    <t>tb_gudang_wilayah</t>
  </si>
  <si>
    <t>tb_hows</t>
  </si>
  <si>
    <t>tb_ics_opname</t>
  </si>
  <si>
    <t>tb_ics_supp</t>
  </si>
  <si>
    <t>tb_indikator_hows</t>
  </si>
  <si>
    <t>tb_indikator_whats</t>
  </si>
  <si>
    <t>tb_issue</t>
  </si>
  <si>
    <t>tb_jobdesk</t>
  </si>
  <si>
    <t>tb_karyawan</t>
  </si>
  <si>
    <t>2026-07-24 09:28:49</t>
  </si>
  <si>
    <t>tb_karyawan_keluarmasuk</t>
  </si>
  <si>
    <t>tb_kd_system_stock</t>
  </si>
  <si>
    <t>tb_kpi</t>
  </si>
  <si>
    <t>tb_kpi_history_backup_all_user_apr_mei_2026</t>
  </si>
  <si>
    <t>2026-07-15 14:28:07</t>
  </si>
  <si>
    <t>tb_kpi_history_bck</t>
  </si>
  <si>
    <t>tb_kpi_lock_settings</t>
  </si>
  <si>
    <t>tb_kpi_reset_log</t>
  </si>
  <si>
    <t>tb_kpi_verified</t>
  </si>
  <si>
    <t>tb_loading_kk</t>
  </si>
  <si>
    <t>tb_loading_kk_bck</t>
  </si>
  <si>
    <t>tb_loading_lk</t>
  </si>
  <si>
    <t>tb_loading_lk_bck</t>
  </si>
  <si>
    <t>tb_login_log</t>
  </si>
  <si>
    <t>tb_log_confirm_sales</t>
  </si>
  <si>
    <t>tb_log_do</t>
  </si>
  <si>
    <t>tb_log_ics</t>
  </si>
  <si>
    <t>tb_log_mutasi</t>
  </si>
  <si>
    <t>2026-07-23 09:59:44</t>
  </si>
  <si>
    <t>tb_lpb_batch</t>
  </si>
  <si>
    <t>2026-07-16 15:55:01</t>
  </si>
  <si>
    <t>tb_lpb_log</t>
  </si>
  <si>
    <t>2026-07-24 09:51:50</t>
  </si>
  <si>
    <t>tb_lpb_manual_log</t>
  </si>
  <si>
    <t>2026-07-22 15:06:27</t>
  </si>
  <si>
    <t>tb_lpb_price_adjustment_detail</t>
  </si>
  <si>
    <t>tb_master_barang_all</t>
  </si>
  <si>
    <t>tb_mbarang</t>
  </si>
  <si>
    <t>tb_menu</t>
  </si>
  <si>
    <t>tb_mutasi</t>
  </si>
  <si>
    <t>tb_notifikasi</t>
  </si>
  <si>
    <t>tb_op_driver</t>
  </si>
  <si>
    <t>tb_op_helper</t>
  </si>
  <si>
    <t>tb_op_plat</t>
  </si>
  <si>
    <t>tb_order_tracking_driver</t>
  </si>
  <si>
    <t>tb_pemenang</t>
  </si>
  <si>
    <t>tb_penilaian_karakter_assignment</t>
  </si>
  <si>
    <t>tb_penilaian_karakter_response</t>
  </si>
  <si>
    <t>tb_pnd_do</t>
  </si>
  <si>
    <t>tb_po_pending</t>
  </si>
  <si>
    <t>tb_po_received</t>
  </si>
  <si>
    <t>tb_pre_do</t>
  </si>
  <si>
    <t>tb_pre_po</t>
  </si>
  <si>
    <t>tb_pre_po_adjustment_log</t>
  </si>
  <si>
    <t>tb_pre_po_diskon_history</t>
  </si>
  <si>
    <t>tb_pre_po_invoice_adjustment</t>
  </si>
  <si>
    <t>tb_qty_lot</t>
  </si>
  <si>
    <t>tb_req_opname</t>
  </si>
  <si>
    <t>tb_retur_barang</t>
  </si>
  <si>
    <t>tb_retur_pembelian</t>
  </si>
  <si>
    <t>2026-07-22 09:05:29</t>
  </si>
  <si>
    <t>tb_retur_pembelian_detail</t>
  </si>
  <si>
    <t>tb_retur_pembelian_log</t>
  </si>
  <si>
    <t>tb_rutecs</t>
  </si>
  <si>
    <t>tb_satuan</t>
  </si>
  <si>
    <t>tb_set_tax</t>
  </si>
  <si>
    <t>tb_sop</t>
  </si>
  <si>
    <t>tb_spr_detail</t>
  </si>
  <si>
    <t>tb_spr_header</t>
  </si>
  <si>
    <t>tb_ss</t>
  </si>
  <si>
    <t>tb_sspoin</t>
  </si>
  <si>
    <t>tb_ss_history</t>
  </si>
  <si>
    <t>tb_stock_hold</t>
  </si>
  <si>
    <t>tb_stock_status</t>
  </si>
  <si>
    <t>tb_surat_peringatan</t>
  </si>
  <si>
    <t>tb_tamu</t>
  </si>
  <si>
    <t>tb_tamu_lby</t>
  </si>
  <si>
    <t>tb_terima_paket</t>
  </si>
  <si>
    <t>tb_tim</t>
  </si>
  <si>
    <t>tb_tmp_detaildo</t>
  </si>
  <si>
    <t>tb_tmp_do</t>
  </si>
  <si>
    <t>tb_tmp_lap_distribusi</t>
  </si>
  <si>
    <t>tb_tmp_mutasi</t>
  </si>
  <si>
    <t>tb_tmp_po_received</t>
  </si>
  <si>
    <t>2026-07-16 13:56:09</t>
  </si>
  <si>
    <t>tb_truck</t>
  </si>
  <si>
    <t>tb_truk</t>
  </si>
  <si>
    <t>tb_user</t>
  </si>
  <si>
    <t>tb_user_level_mapping</t>
  </si>
  <si>
    <t>tb_whats</t>
  </si>
  <si>
    <t>tb_wilayah</t>
  </si>
  <si>
    <t>trashbin_do</t>
  </si>
  <si>
    <t>users</t>
  </si>
  <si>
    <t>v_stockbarangnk</t>
  </si>
  <si>
    <t>VIEW</t>
  </si>
  <si>
    <t>Temuan dan Risiko</t>
  </si>
  <si>
    <t>Temuan scan yang memengaruhi readiness, data quality, dan prioritas stabilisasi.</t>
  </si>
  <si>
    <t>Prioritas</t>
  </si>
  <si>
    <t>Temuan</t>
  </si>
  <si>
    <t>Rekomendasi</t>
  </si>
  <si>
    <t>Evidence / scope</t>
  </si>
  <si>
    <t>High</t>
  </si>
  <si>
    <t>Konfigurasi database</t>
  </si>
  <si>
    <t>Baseline Git menunjuk u471548307_karismaerp yang tidak tersedia; working tree memiliki perubahan uncommitted menuju kiucoid_karismaerp_local.</t>
  </si>
  <si>
    <t>Tetapkan konfigurasi environment resmi sebelum UAT/runtime.</t>
  </si>
  <si>
    <t>application/config/database.php</t>
  </si>
  <si>
    <t>Duplikasi source of truth</t>
  </si>
  <si>
    <t>User, barang, supplier, dan stock memiliki tabel legacy dan modern yang hidup bersamaan.</t>
  </si>
  <si>
    <t>Buat data dictionary dan putuskan master resmi sebelum migrasi.</t>
  </si>
  <si>
    <t>tb_user/tb_users; tb_master_barang/tb_barangv2/tbpo_barang; tberp_stock_*</t>
  </si>
  <si>
    <t>Medium</t>
  </si>
  <si>
    <t>Format tanggal legacy</t>
  </si>
  <si>
    <t>Beberapa tanggal disimpan sebagai TEXT dengan format campuran dan placeholder 01/01/1970.</t>
  </si>
  <si>
    <t>Normalisasi di staging dan gunakan DATE/DATETIME untuk jalur baru.</t>
  </si>
  <si>
    <t>tb_ics_do; tb_detail_do; tb_ics_po; tbpo_*_nk</t>
  </si>
  <si>
    <t>Volume transaksi modern kecil</t>
  </si>
  <si>
    <t>LPB 8, jurnal 9, mutasi 2, PO komersil 3 pada snapshot.</t>
  </si>
  <si>
    <t>Bedakan snapshot/UAT dari volume production; lakukan UAT controlled.</t>
  </si>
  <si>
    <t>Retur penjualan kosong</t>
  </si>
  <si>
    <t>Schema dan route tersedia, tetapi tbrp_* tidak memiliki transaksi pada snapshot.</t>
  </si>
  <si>
    <t>Siapkan data uji atau validasi pada database target.</t>
  </si>
  <si>
    <t>tbrp_spr_header; tbrp_retur_penjualan_header</t>
  </si>
  <si>
    <t>Payment faktur kosong</t>
  </si>
  <si>
    <t>tbkeu_pembayaran_faktur memiliki schema tetapi 0 row.</t>
  </si>
  <si>
    <t>Uji alur pembayaran dan jurnal pembayaran setelah data tersedia.</t>
  </si>
  <si>
    <t>Low</t>
  </si>
  <si>
    <t>Modul partial/orphan</t>
  </si>
  <si>
    <t>KPI, Inventaris, Maintenance, Request Design belum memiliki route/runtime yang setara modul transaksi.</t>
  </si>
  <si>
    <t>Masukkan backlog stabilization dan jangan klaim full production readiness.</t>
  </si>
  <si>
    <t>application/controllers/kpi; inventaris; maintenance; requestdesign</t>
  </si>
  <si>
    <t>Metodologi dan Sumber</t>
  </si>
  <si>
    <t>Cara membaca workbook dan batasan validasi.</t>
  </si>
  <si>
    <t>Kategori</t>
  </si>
  <si>
    <t>Metode / sumber</t>
  </si>
  <si>
    <t>Keterangan</t>
  </si>
  <si>
    <t>Scope</t>
  </si>
  <si>
    <t>Read-only project scan</t>
  </si>
  <si>
    <t>Routes, controllers, models, views, config, DB metadata, SELECT aggregate</t>
  </si>
  <si>
    <t>Application</t>
  </si>
  <si>
    <t>CodeIgniter 3</t>
  </si>
  <si>
    <t>application/config/routes.php; application/controllers; application/models; application/views/content</t>
  </si>
  <si>
    <t>HMVC</t>
  </si>
  <si>
    <t>kiupo legacy</t>
  </si>
  <si>
    <t>application/modules/kiupo/routes.php; controllers; models; views</t>
  </si>
  <si>
    <t>Database runtime</t>
  </si>
  <si>
    <t>MariaDB 10.4.27</t>
  </si>
  <si>
    <t>Local MariaDB; primary data source: kiucoid_karismaerp_local</t>
  </si>
  <si>
    <t>Database metadata</t>
  </si>
  <si>
    <t>information_schema</t>
  </si>
  <si>
    <t>259 object, 2.987 kolom, 35 foreign key; family rows use table_rows estimate</t>
  </si>
  <si>
    <t>Date parsing</t>
  </si>
  <si>
    <t>Business date columns</t>
  </si>
  <si>
    <t>DATE/DATETIME direct; TEXT parsed for DD/MM/YYYY, D/M/YYYY, YYYY-MM-DD; 01/01/1970 ignored</t>
  </si>
  <si>
    <t>Validation</t>
  </si>
  <si>
    <t>PHP lint</t>
  </si>
  <si>
    <t>75 controller/model PHP files linted; 0 errors</t>
  </si>
  <si>
    <t>Safety</t>
  </si>
  <si>
    <t>Mutation policy</t>
  </si>
  <si>
    <t>No insert, update, delete, truncate, import, migration, or config edit by scan</t>
  </si>
  <si>
    <t>Source docs</t>
  </si>
  <si>
    <t>Project reports</t>
  </si>
  <si>
    <t>docs/development/project-module-scan-20260724.md; docs/database/project-module-data-scan-20260724.md</t>
  </si>
  <si>
    <t>Source files</t>
  </si>
  <si>
    <t>System report</t>
  </si>
  <si>
    <t>docs/development/project-module-scan-20260724.md</t>
  </si>
  <si>
    <t>Daftar modul, route, komponen kode, status</t>
  </si>
  <si>
    <t>Database report</t>
  </si>
  <si>
    <t>docs/database/project-module-data-scan-20260724.md</t>
  </si>
  <si>
    <t>Database object, data start/end, risiko</t>
  </si>
  <si>
    <t>Route registry</t>
  </si>
  <si>
    <t>application/config/routes.php; application/modules/kiupo/routes.php</t>
  </si>
  <si>
    <t>Route utama dan HMVC legacy</t>
  </si>
  <si>
    <t>Database config</t>
  </si>
  <si>
    <t>Baseline Git dan working tree dicatat sebagai caveat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</si>
</sst>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  <font>
      <b/>
      <sz val="11"/>
      <color rgb="FF123B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EAF1F7"/>
      </patternFill>
    </fill>
    <fill>
      <patternFill patternType="solid">
        <fgColor rgb="FF1F6D8C"/>
      </patternFill>
    </fill>
    <fill>
      <patternFill patternType="solid">
        <fgColor rgb="FFD9EAF2"/>
      </patternFill>
    </fill>
  </fills>
  <borders count="11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/>
      <right style="thin">
        <color rgb="FFD9E2E8"/>
      </right>
      <top/>
      <bottom style="thin">
        <color rgb="FFD9E2E8"/>
      </bottom>
      <diagonal/>
    </border>
    <border>
      <left style="thin">
        <color rgb="FFD9E2E8"/>
      </left>
      <right/>
      <top/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/>
      <top style="thin">
        <color rgb="FFD9E2E8"/>
      </top>
      <bottom/>
      <diagonal/>
    </border>
    <border>
      <left style="thin">
        <color rgb="FFD9E2E8"/>
      </left>
      <right style="thin">
        <color rgb="FFD9E2E8"/>
      </right>
      <top/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3" fontId="0" fillId="0" borderId="3" xfId="0" applyNumberFormat="1" applyFont="1" applyFill="1" applyBorder="1" applyAlignment="1">
      <alignment vertical="top" wrapText="1"/>
    </xf>
    <xf numFmtId="3" fontId="0" fillId="0" borderId="5" xfId="0" applyNumberFormat="1" applyFont="1" applyFill="1" applyBorder="1" applyAlignment="1">
      <alignment vertical="top" wrapText="1"/>
    </xf>
    <xf numFmtId="3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164" fontId="0" fillId="0" borderId="8" xfId="0" applyNumberFormat="1" applyFont="1" applyFill="1" applyBorder="1" applyAlignment="1">
      <alignment vertical="top" wrapText="1"/>
    </xf>
    <xf numFmtId="164" fontId="0" fillId="0" borderId="9" xfId="0" applyNumberFormat="1" applyFont="1" applyFill="1" applyBorder="1" applyAlignment="1">
      <alignment vertical="top" wrapText="1"/>
    </xf>
    <xf numFmtId="164" fontId="0" fillId="0" borderId="10" xfId="0" applyNumberFormat="1" applyFont="1" applyFill="1" applyBorder="1" applyAlignment="1">
      <alignment vertical="top" wrapText="1"/>
    </xf>
    <xf numFmtId="3" fontId="0" fillId="0" borderId="8" xfId="0" applyNumberFormat="1" applyFont="1" applyFill="1" applyBorder="1" applyAlignment="1">
      <alignment vertical="top" wrapText="1"/>
    </xf>
    <xf numFmtId="3" fontId="0" fillId="0" borderId="9" xfId="0" applyNumberFormat="1" applyFont="1" applyFill="1" applyBorder="1" applyAlignment="1">
      <alignment vertical="top" wrapText="1"/>
    </xf>
    <xf numFmtId="3" fontId="0" fillId="0" borderId="10" xfId="0" applyNumberFormat="1" applyFont="1" applyFill="1" applyBorder="1" applyAlignment="1">
      <alignment vertical="top" wrapText="1"/>
    </xf>
    <xf numFmtId="165" fontId="0" fillId="0" borderId="8" xfId="0" applyNumberFormat="1" applyFont="1" applyFill="1" applyBorder="1" applyAlignment="1">
      <alignment vertical="top" wrapText="1"/>
    </xf>
    <xf numFmtId="165" fontId="0" fillId="0" borderId="9" xfId="0" applyNumberFormat="1" applyFont="1" applyFill="1" applyBorder="1" applyAlignment="1">
      <alignment vertical="top" wrapText="1"/>
    </xf>
    <xf numFmtId="165" fontId="0" fillId="0" borderId="1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/>
  </cellXfs>
  <cellStyles count="1">
    <cellStyle name="Normal" xfId="0" builtinId="0"/>
  </cellStyles>
  <dxfs count="6">
    <dxf>
      <font>
        <b/>
        <color rgb="FF1B5E20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B5E20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duleInventory" displayName="ModuleInventory" ref="A4:F30" totalsRowShown="0">
  <tableColumns count="6">
    <tableColumn id="1" name="Modul"/>
    <tableColumn id="2" name="Deskripsi singkat"/>
    <tableColumn id="3" name="Komponen kode utama"/>
    <tableColumn id="4" name="Route / endpoint utama"/>
    <tableColumn id="5" name="Status scan"/>
    <tableColumn id="6" name="Bukti / 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RangeInventory" displayName="DataRangeInventory" ref="A4:G38" totalsRowShown="0">
  <tableColumns count="7">
    <tableColumn id="1" name="Modul"/>
    <tableColumn id="2" name="Tabel sumber"/>
    <tableColumn id="3" name="Row snapshot"/>
    <tableColumn id="4" name="Data mulai"/>
    <tableColumn id="5" name="Data akhir"/>
    <tableColumn id="6" name="Basis tanggal"/>
    <tableColumn id="7" name="Cat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baseFamilySummary" displayName="DatabaseFamilySummary" ref="A4:D14" totalsRowShown="0">
  <tableColumns count="4">
    <tableColumn id="1" name="Keluarga tabel"/>
    <tableColumn id="2" name="Jumlah tabel"/>
    <tableColumn id="3" name="Estimasi row"/>
    <tableColumn id="4" name="Per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baseObjectInventory" displayName="DatabaseObjectInventory" ref="A4:G263" totalsRowShown="0">
  <tableColumns count="7">
    <tableColumn id="1" name="Nama object"/>
    <tableColumn id="2" name="Tipe"/>
    <tableColumn id="3" name="Engine"/>
    <tableColumn id="4" name="Estimasi row"/>
    <tableColumn id="5" name="Create time"/>
    <tableColumn id="6" name="Update time"/>
    <tableColumn id="7" name="Keluarga modu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iskRegister" displayName="RiskRegister" ref="A4:E11" totalsRowShown="0">
  <tableColumns count="5">
    <tableColumn id="1" name="Prioritas"/>
    <tableColumn id="2" name="Area"/>
    <tableColumn id="3" name="Temuan"/>
    <tableColumn id="4" name="Rekomendasi"/>
    <tableColumn id="5" name="Evidence / sc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anMethodology" displayName="ScanMethodology" ref="A4:C13" totalsRowShown="0">
  <tableColumns count="3">
    <tableColumn id="1" name="Kategori"/>
    <tableColumn id="2" name="Metode / sumber"/>
    <tableColumn id="3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topLeftCell="A7" workbookViewId="0">
      <selection sqref="A1:H1"/>
    </sheetView>
  </sheetViews>
  <sheetFormatPr defaultRowHeight="14.25"/>
  <cols>
    <col min="1" max="1" width="34" customWidth="1"/>
    <col min="2" max="3" width="20" customWidth="1"/>
    <col min="4" max="4" width="42" customWidth="1"/>
    <col min="5" max="8" width="14" customWidth="1"/>
  </cols>
  <sheetData>
    <row r="1" spans="1:8" ht="30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 ht="27.95" customHeight="1">
      <c r="A2" s="24" t="s">
        <v>1</v>
      </c>
      <c r="B2" s="24"/>
      <c r="C2" s="24"/>
      <c r="D2" s="24"/>
      <c r="E2" s="24"/>
      <c r="F2" s="24"/>
      <c r="G2" s="24"/>
      <c r="H2" s="24"/>
    </row>
    <row r="4" spans="1:8" ht="33.950000000000003" customHeight="1">
      <c r="A4" s="1" t="s">
        <v>2</v>
      </c>
      <c r="B4" s="1" t="s">
        <v>3</v>
      </c>
    </row>
    <row r="5" spans="1:8">
      <c r="A5" s="2" t="s">
        <v>4</v>
      </c>
      <c r="B5" s="8">
        <f>COUNTA('Modul Sistem'!A5:A29)</f>
        <v>25</v>
      </c>
    </row>
    <row r="6" spans="1:8">
      <c r="A6" s="4" t="s">
        <v>5</v>
      </c>
      <c r="B6" s="9">
        <f>COUNTIF('Modul Sistem'!E5:E29,"Aktif")</f>
        <v>12</v>
      </c>
    </row>
    <row r="7" spans="1:8">
      <c r="A7" s="4" t="s">
        <v>6</v>
      </c>
      <c r="B7" s="9">
        <f>COUNTA('Modul Sistem'!E5:E29)-COUNTIF('Modul Sistem'!E5:E29,"Aktif")</f>
        <v>13</v>
      </c>
    </row>
    <row r="8" spans="1:8">
      <c r="A8" s="4" t="s">
        <v>7</v>
      </c>
      <c r="B8" s="9">
        <f>COUNTA('Data Start-End'!A5:A38)</f>
        <v>34</v>
      </c>
    </row>
    <row r="9" spans="1:8">
      <c r="A9" s="6" t="s">
        <v>8</v>
      </c>
      <c r="B9" s="10">
        <f>COUNTA('Database Tables'!A5:A263)</f>
        <v>259</v>
      </c>
    </row>
    <row r="12" spans="1:8" ht="15">
      <c r="A12" s="25" t="s">
        <v>9</v>
      </c>
      <c r="B12" s="25"/>
      <c r="C12" s="25"/>
      <c r="D12" s="25"/>
      <c r="E12" s="25"/>
      <c r="F12" s="25"/>
      <c r="G12" s="25"/>
      <c r="H12" s="25"/>
    </row>
    <row r="13" spans="1:8" ht="33.950000000000003" customHeight="1">
      <c r="A13" s="1" t="s">
        <v>10</v>
      </c>
      <c r="B13" s="1" t="s">
        <v>11</v>
      </c>
      <c r="C13" s="1" t="s">
        <v>12</v>
      </c>
      <c r="D13" s="1" t="s">
        <v>13</v>
      </c>
    </row>
    <row r="14" spans="1:8" ht="28.5">
      <c r="A14" s="2" t="s">
        <v>14</v>
      </c>
      <c r="B14" s="11" t="s">
        <v>15</v>
      </c>
      <c r="C14" s="11" t="s">
        <v>16</v>
      </c>
      <c r="D14" s="3" t="s">
        <v>17</v>
      </c>
    </row>
    <row r="15" spans="1:8" ht="28.5">
      <c r="A15" s="4" t="s">
        <v>18</v>
      </c>
      <c r="B15" s="12" t="s">
        <v>19</v>
      </c>
      <c r="C15" s="12" t="s">
        <v>20</v>
      </c>
      <c r="D15" s="5" t="s">
        <v>21</v>
      </c>
    </row>
    <row r="16" spans="1:8">
      <c r="A16" s="4" t="s">
        <v>22</v>
      </c>
      <c r="B16" s="12" t="s">
        <v>23</v>
      </c>
      <c r="C16" s="12" t="s">
        <v>24</v>
      </c>
      <c r="D16" s="5" t="s">
        <v>25</v>
      </c>
    </row>
    <row r="17" spans="1:8">
      <c r="A17" s="6" t="s">
        <v>26</v>
      </c>
      <c r="B17" s="13" t="s">
        <v>27</v>
      </c>
      <c r="C17" s="13" t="s">
        <v>28</v>
      </c>
      <c r="D17" s="7" t="s">
        <v>29</v>
      </c>
    </row>
    <row r="20" spans="1:8" ht="15">
      <c r="A20" s="25" t="s">
        <v>30</v>
      </c>
      <c r="B20" s="25"/>
      <c r="C20" s="25"/>
      <c r="D20" s="25"/>
      <c r="E20" s="25"/>
      <c r="F20" s="25"/>
      <c r="G20" s="25"/>
      <c r="H20" s="25"/>
    </row>
    <row r="21" spans="1:8" ht="33.950000000000003" customHeight="1">
      <c r="A21" s="1" t="s">
        <v>31</v>
      </c>
      <c r="B21" s="1" t="s">
        <v>32</v>
      </c>
      <c r="C21" s="1" t="s">
        <v>33</v>
      </c>
      <c r="D21" s="1" t="s">
        <v>13</v>
      </c>
    </row>
    <row r="22" spans="1:8">
      <c r="A22" s="2" t="s">
        <v>34</v>
      </c>
      <c r="B22" s="14">
        <v>45582</v>
      </c>
      <c r="C22" s="14">
        <v>46205</v>
      </c>
      <c r="D22" s="3" t="s">
        <v>35</v>
      </c>
    </row>
    <row r="23" spans="1:8">
      <c r="A23" s="4" t="s">
        <v>36</v>
      </c>
      <c r="B23" s="15">
        <v>45994</v>
      </c>
      <c r="C23" s="15">
        <v>46210</v>
      </c>
      <c r="D23" s="5" t="s">
        <v>37</v>
      </c>
    </row>
    <row r="24" spans="1:8">
      <c r="A24" s="4" t="s">
        <v>38</v>
      </c>
      <c r="B24" s="15">
        <v>46163</v>
      </c>
      <c r="C24" s="15">
        <v>46226</v>
      </c>
      <c r="D24" s="5" t="s">
        <v>39</v>
      </c>
    </row>
    <row r="25" spans="1:8">
      <c r="A25" s="4" t="s">
        <v>40</v>
      </c>
      <c r="B25" s="15">
        <v>46223</v>
      </c>
      <c r="C25" s="15">
        <v>46226</v>
      </c>
      <c r="D25" s="5" t="s">
        <v>41</v>
      </c>
    </row>
    <row r="26" spans="1:8">
      <c r="A26" s="4" t="s">
        <v>42</v>
      </c>
      <c r="B26" s="15">
        <v>46223</v>
      </c>
      <c r="C26" s="15">
        <v>46226</v>
      </c>
      <c r="D26" s="5" t="s">
        <v>43</v>
      </c>
    </row>
    <row r="27" spans="1:8">
      <c r="A27" s="6" t="s">
        <v>44</v>
      </c>
      <c r="B27" s="16">
        <v>45955</v>
      </c>
      <c r="C27" s="16">
        <v>46216</v>
      </c>
      <c r="D27" s="7" t="s">
        <v>45</v>
      </c>
    </row>
  </sheetData>
  <mergeCells count="4">
    <mergeCell ref="A1:H1"/>
    <mergeCell ref="A2:H2"/>
    <mergeCell ref="A12:H12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tabSelected="1" topLeftCell="A13" workbookViewId="0">
      <selection activeCell="D17" sqref="D17"/>
    </sheetView>
  </sheetViews>
  <sheetFormatPr defaultRowHeight="14.25"/>
  <cols>
    <col min="1" max="1" width="64.125" customWidth="1"/>
    <col min="2" max="2" width="48" customWidth="1"/>
    <col min="3" max="3" width="54" customWidth="1"/>
    <col min="4" max="4" width="46" customWidth="1"/>
    <col min="5" max="5" width="22" customWidth="1"/>
    <col min="6" max="6" width="32" customWidth="1"/>
  </cols>
  <sheetData>
    <row r="1" spans="1:6" ht="30" customHeight="1">
      <c r="A1" s="23" t="s">
        <v>46</v>
      </c>
      <c r="B1" s="23"/>
      <c r="C1" s="23"/>
      <c r="D1" s="23"/>
      <c r="E1" s="23"/>
      <c r="F1" s="23"/>
    </row>
    <row r="2" spans="1:6" ht="27.95" customHeight="1">
      <c r="A2" s="24" t="s">
        <v>47</v>
      </c>
      <c r="B2" s="24"/>
      <c r="C2" s="24"/>
      <c r="D2" s="24"/>
      <c r="E2" s="24"/>
      <c r="F2" s="24"/>
    </row>
    <row r="4" spans="1:6" ht="33.950000000000003" customHeight="1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</row>
    <row r="5" spans="1:6" ht="28.5">
      <c r="A5" s="2" t="s">
        <v>54</v>
      </c>
      <c r="B5" s="11" t="s">
        <v>55</v>
      </c>
      <c r="C5" s="11" t="s">
        <v>56</v>
      </c>
      <c r="D5" s="11" t="s">
        <v>57</v>
      </c>
      <c r="E5" s="11" t="s">
        <v>58</v>
      </c>
      <c r="F5" s="3" t="s">
        <v>59</v>
      </c>
    </row>
    <row r="6" spans="1:6" ht="28.5">
      <c r="A6" s="4" t="s">
        <v>60</v>
      </c>
      <c r="B6" s="12" t="s">
        <v>61</v>
      </c>
      <c r="C6" s="12" t="s">
        <v>62</v>
      </c>
      <c r="D6" s="12" t="s">
        <v>63</v>
      </c>
      <c r="E6" s="12" t="s">
        <v>58</v>
      </c>
      <c r="F6" s="5" t="s">
        <v>64</v>
      </c>
    </row>
    <row r="7" spans="1:6" ht="28.5">
      <c r="A7" s="4" t="s">
        <v>65</v>
      </c>
      <c r="B7" s="12" t="s">
        <v>66</v>
      </c>
      <c r="C7" s="12" t="s">
        <v>67</v>
      </c>
      <c r="D7" s="12" t="s">
        <v>68</v>
      </c>
      <c r="E7" s="12" t="s">
        <v>69</v>
      </c>
      <c r="F7" s="5" t="s">
        <v>70</v>
      </c>
    </row>
    <row r="8" spans="1:6" ht="28.5">
      <c r="A8" s="4" t="s">
        <v>71</v>
      </c>
      <c r="B8" s="12" t="s">
        <v>72</v>
      </c>
      <c r="C8" s="12" t="s">
        <v>73</v>
      </c>
      <c r="D8" s="12" t="s">
        <v>74</v>
      </c>
      <c r="E8" s="12" t="s">
        <v>58</v>
      </c>
      <c r="F8" s="5" t="s">
        <v>75</v>
      </c>
    </row>
    <row r="9" spans="1:6" ht="28.5">
      <c r="A9" s="4" t="s">
        <v>76</v>
      </c>
      <c r="B9" s="12" t="s">
        <v>77</v>
      </c>
      <c r="C9" s="12" t="s">
        <v>78</v>
      </c>
      <c r="D9" s="12" t="s">
        <v>79</v>
      </c>
      <c r="E9" s="12" t="s">
        <v>80</v>
      </c>
      <c r="F9" s="5" t="s">
        <v>81</v>
      </c>
    </row>
    <row r="10" spans="1:6" ht="28.5">
      <c r="A10" s="4" t="s">
        <v>82</v>
      </c>
      <c r="B10" s="12" t="s">
        <v>83</v>
      </c>
      <c r="C10" s="12" t="s">
        <v>84</v>
      </c>
      <c r="D10" s="12" t="s">
        <v>85</v>
      </c>
      <c r="E10" s="12" t="s">
        <v>58</v>
      </c>
      <c r="F10" s="5" t="s">
        <v>86</v>
      </c>
    </row>
    <row r="11" spans="1:6" ht="28.5">
      <c r="A11" s="4" t="s">
        <v>87</v>
      </c>
      <c r="B11" s="12" t="s">
        <v>88</v>
      </c>
      <c r="C11" s="12" t="s">
        <v>89</v>
      </c>
      <c r="D11" s="12" t="s">
        <v>90</v>
      </c>
      <c r="E11" s="12" t="s">
        <v>58</v>
      </c>
      <c r="F11" s="5" t="s">
        <v>91</v>
      </c>
    </row>
    <row r="12" spans="1:6" ht="28.5">
      <c r="A12" s="4" t="s">
        <v>92</v>
      </c>
      <c r="B12" s="12" t="s">
        <v>93</v>
      </c>
      <c r="C12" s="12" t="s">
        <v>94</v>
      </c>
      <c r="D12" s="12" t="s">
        <v>95</v>
      </c>
      <c r="E12" s="12" t="s">
        <v>58</v>
      </c>
      <c r="F12" s="5" t="s">
        <v>96</v>
      </c>
    </row>
    <row r="13" spans="1:6" ht="28.5">
      <c r="A13" s="4" t="s">
        <v>97</v>
      </c>
      <c r="B13" s="12" t="s">
        <v>98</v>
      </c>
      <c r="C13" s="12" t="s">
        <v>99</v>
      </c>
      <c r="D13" s="12" t="s">
        <v>100</v>
      </c>
      <c r="E13" s="12" t="s">
        <v>101</v>
      </c>
      <c r="F13" s="5" t="s">
        <v>102</v>
      </c>
    </row>
    <row r="14" spans="1:6" ht="28.5">
      <c r="A14" s="4" t="s">
        <v>103</v>
      </c>
      <c r="B14" s="12" t="s">
        <v>104</v>
      </c>
      <c r="C14" s="12" t="s">
        <v>105</v>
      </c>
      <c r="D14" s="12" t="s">
        <v>106</v>
      </c>
      <c r="E14" s="12" t="s">
        <v>58</v>
      </c>
      <c r="F14" s="5" t="s">
        <v>107</v>
      </c>
    </row>
    <row r="15" spans="1:6" ht="28.5">
      <c r="A15" s="4" t="s">
        <v>108</v>
      </c>
      <c r="B15" s="12" t="s">
        <v>109</v>
      </c>
      <c r="C15" s="12" t="s">
        <v>110</v>
      </c>
      <c r="D15" s="12" t="s">
        <v>111</v>
      </c>
      <c r="E15" s="12" t="s">
        <v>69</v>
      </c>
      <c r="F15" s="5" t="s">
        <v>112</v>
      </c>
    </row>
    <row r="16" spans="1:6" ht="28.5">
      <c r="A16" s="4" t="s">
        <v>113</v>
      </c>
      <c r="B16" s="12" t="s">
        <v>114</v>
      </c>
      <c r="C16" s="12" t="s">
        <v>115</v>
      </c>
      <c r="D16" s="12" t="s">
        <v>116</v>
      </c>
      <c r="E16" s="12" t="s">
        <v>58</v>
      </c>
      <c r="F16" s="5" t="s">
        <v>117</v>
      </c>
    </row>
    <row r="17" spans="1:6" ht="28.5">
      <c r="A17" s="4" t="s">
        <v>118</v>
      </c>
      <c r="B17" s="12" t="s">
        <v>119</v>
      </c>
      <c r="C17" s="12" t="s">
        <v>120</v>
      </c>
      <c r="D17" s="12" t="s">
        <v>121</v>
      </c>
      <c r="E17" s="12" t="s">
        <v>122</v>
      </c>
      <c r="F17" s="5" t="s">
        <v>123</v>
      </c>
    </row>
    <row r="18" spans="1:6" ht="42.75">
      <c r="A18" s="4" t="s">
        <v>124</v>
      </c>
      <c r="B18" s="12" t="s">
        <v>125</v>
      </c>
      <c r="C18" s="12" t="s">
        <v>126</v>
      </c>
      <c r="D18" s="12" t="s">
        <v>127</v>
      </c>
      <c r="E18" s="12" t="s">
        <v>58</v>
      </c>
      <c r="F18" s="5" t="s">
        <v>128</v>
      </c>
    </row>
    <row r="19" spans="1:6" ht="28.5">
      <c r="A19" s="4" t="s">
        <v>44</v>
      </c>
      <c r="B19" s="12" t="s">
        <v>129</v>
      </c>
      <c r="C19" s="12" t="s">
        <v>130</v>
      </c>
      <c r="D19" s="12" t="s">
        <v>131</v>
      </c>
      <c r="E19" s="12" t="s">
        <v>58</v>
      </c>
      <c r="F19" s="5" t="s">
        <v>132</v>
      </c>
    </row>
    <row r="20" spans="1:6" ht="28.5">
      <c r="A20" s="4" t="s">
        <v>133</v>
      </c>
      <c r="B20" s="12" t="s">
        <v>134</v>
      </c>
      <c r="C20" s="12" t="s">
        <v>135</v>
      </c>
      <c r="D20" s="12" t="s">
        <v>136</v>
      </c>
      <c r="E20" s="12" t="s">
        <v>137</v>
      </c>
      <c r="F20" s="5" t="s">
        <v>138</v>
      </c>
    </row>
    <row r="21" spans="1:6" ht="28.5">
      <c r="A21" s="4" t="s">
        <v>139</v>
      </c>
      <c r="B21" s="12" t="s">
        <v>140</v>
      </c>
      <c r="C21" s="12" t="s">
        <v>141</v>
      </c>
      <c r="D21" s="12" t="s">
        <v>142</v>
      </c>
      <c r="E21" s="12" t="s">
        <v>143</v>
      </c>
      <c r="F21" s="5" t="s">
        <v>144</v>
      </c>
    </row>
    <row r="22" spans="1:6" ht="28.5">
      <c r="A22" s="4" t="s">
        <v>145</v>
      </c>
      <c r="B22" s="12" t="s">
        <v>146</v>
      </c>
      <c r="C22" s="12" t="s">
        <v>147</v>
      </c>
      <c r="D22" s="12" t="s">
        <v>148</v>
      </c>
      <c r="E22" s="12" t="s">
        <v>149</v>
      </c>
      <c r="F22" s="5" t="s">
        <v>150</v>
      </c>
    </row>
    <row r="23" spans="1:6" ht="42.75">
      <c r="A23" s="4" t="s">
        <v>151</v>
      </c>
      <c r="B23" s="12" t="s">
        <v>152</v>
      </c>
      <c r="C23" s="12" t="s">
        <v>153</v>
      </c>
      <c r="D23" s="12" t="s">
        <v>154</v>
      </c>
      <c r="E23" s="12" t="s">
        <v>58</v>
      </c>
      <c r="F23" s="5" t="s">
        <v>155</v>
      </c>
    </row>
    <row r="24" spans="1:6">
      <c r="A24" s="4" t="s">
        <v>156</v>
      </c>
      <c r="B24" s="12" t="s">
        <v>157</v>
      </c>
      <c r="C24" s="12" t="s">
        <v>158</v>
      </c>
      <c r="D24" s="12" t="s">
        <v>159</v>
      </c>
      <c r="E24" s="12" t="s">
        <v>160</v>
      </c>
      <c r="F24" s="5" t="s">
        <v>161</v>
      </c>
    </row>
    <row r="25" spans="1:6">
      <c r="A25" s="4" t="s">
        <v>162</v>
      </c>
      <c r="B25" s="12" t="s">
        <v>163</v>
      </c>
      <c r="C25" s="12" t="s">
        <v>164</v>
      </c>
      <c r="D25" s="12" t="s">
        <v>165</v>
      </c>
      <c r="E25" s="12" t="s">
        <v>166</v>
      </c>
      <c r="F25" s="5" t="s">
        <v>167</v>
      </c>
    </row>
    <row r="26" spans="1:6" ht="28.5">
      <c r="A26" s="4" t="s">
        <v>168</v>
      </c>
      <c r="B26" s="12" t="s">
        <v>169</v>
      </c>
      <c r="C26" s="12" t="s">
        <v>170</v>
      </c>
      <c r="D26" s="12" t="s">
        <v>171</v>
      </c>
      <c r="E26" s="12" t="s">
        <v>58</v>
      </c>
      <c r="F26" s="5" t="s">
        <v>172</v>
      </c>
    </row>
    <row r="27" spans="1:6">
      <c r="A27" s="4" t="s">
        <v>173</v>
      </c>
      <c r="B27" s="12" t="s">
        <v>174</v>
      </c>
      <c r="C27" s="12" t="s">
        <v>175</v>
      </c>
      <c r="D27" s="12" t="s">
        <v>176</v>
      </c>
      <c r="E27" s="12" t="s">
        <v>160</v>
      </c>
      <c r="F27" s="5" t="s">
        <v>177</v>
      </c>
    </row>
    <row r="28" spans="1:6">
      <c r="A28" s="4" t="s">
        <v>178</v>
      </c>
      <c r="B28" s="12" t="s">
        <v>179</v>
      </c>
      <c r="C28" s="12" t="s">
        <v>180</v>
      </c>
      <c r="D28" s="12" t="s">
        <v>181</v>
      </c>
      <c r="E28" s="12" t="s">
        <v>182</v>
      </c>
      <c r="F28" s="5" t="s">
        <v>183</v>
      </c>
    </row>
    <row r="29" spans="1:6" ht="28.5">
      <c r="A29" s="4" t="s">
        <v>184</v>
      </c>
      <c r="B29" s="12" t="s">
        <v>185</v>
      </c>
      <c r="C29" s="12" t="s">
        <v>186</v>
      </c>
      <c r="D29" s="12" t="s">
        <v>181</v>
      </c>
      <c r="E29" s="12" t="s">
        <v>182</v>
      </c>
      <c r="F29" s="5" t="s">
        <v>187</v>
      </c>
    </row>
    <row r="30" spans="1:6" ht="28.5">
      <c r="A30" s="6" t="s">
        <v>188</v>
      </c>
      <c r="B30" s="13" t="s">
        <v>189</v>
      </c>
      <c r="C30" s="13" t="s">
        <v>190</v>
      </c>
      <c r="D30" s="13" t="s">
        <v>191</v>
      </c>
      <c r="E30" s="13" t="s">
        <v>192</v>
      </c>
      <c r="F30" s="7" t="s">
        <v>193</v>
      </c>
    </row>
  </sheetData>
  <mergeCells count="2">
    <mergeCell ref="A1:F1"/>
    <mergeCell ref="A2:F2"/>
  </mergeCells>
  <conditionalFormatting sqref="E5:E30">
    <cfRule type="containsText" dxfId="5" priority="1" operator="containsText" text="Aktif"/>
    <cfRule type="containsText" dxfId="4" priority="2" operator="containsText" text="Partial"/>
    <cfRule type="containsText" dxfId="3" priority="3" operator="containsText" text="Belum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opLeftCell="A25" workbookViewId="0">
      <selection sqref="A1:G1"/>
    </sheetView>
  </sheetViews>
  <sheetFormatPr defaultRowHeight="14.25"/>
  <cols>
    <col min="1" max="1" width="28" customWidth="1"/>
    <col min="2" max="2" width="42" customWidth="1"/>
    <col min="3" max="3" width="14" customWidth="1"/>
    <col min="4" max="5" width="20" customWidth="1"/>
    <col min="6" max="6" width="24" customWidth="1"/>
    <col min="7" max="7" width="54" customWidth="1"/>
  </cols>
  <sheetData>
    <row r="1" spans="1:7" ht="30" customHeight="1">
      <c r="A1" s="23" t="s">
        <v>194</v>
      </c>
      <c r="B1" s="23"/>
      <c r="C1" s="23"/>
      <c r="D1" s="23"/>
      <c r="E1" s="23"/>
      <c r="F1" s="23"/>
      <c r="G1" s="23"/>
    </row>
    <row r="2" spans="1:7" ht="27.95" customHeight="1">
      <c r="A2" s="24" t="s">
        <v>195</v>
      </c>
      <c r="B2" s="24"/>
      <c r="C2" s="24"/>
      <c r="D2" s="24"/>
      <c r="E2" s="24"/>
      <c r="F2" s="24"/>
      <c r="G2" s="24"/>
    </row>
    <row r="4" spans="1:7" ht="33.950000000000003" customHeight="1">
      <c r="A4" s="1" t="s">
        <v>48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13</v>
      </c>
    </row>
    <row r="5" spans="1:7">
      <c r="A5" s="2" t="s">
        <v>201</v>
      </c>
      <c r="B5" s="11" t="s">
        <v>202</v>
      </c>
      <c r="C5" s="17">
        <v>152</v>
      </c>
      <c r="D5" s="20">
        <v>46203.491805555554</v>
      </c>
      <c r="E5" s="20">
        <v>46210.443495370368</v>
      </c>
      <c r="F5" s="11" t="s">
        <v>203</v>
      </c>
      <c r="G5" s="3" t="s">
        <v>204</v>
      </c>
    </row>
    <row r="6" spans="1:7" ht="28.5">
      <c r="A6" s="4" t="s">
        <v>205</v>
      </c>
      <c r="B6" s="12" t="s">
        <v>206</v>
      </c>
      <c r="C6" s="18">
        <v>5739</v>
      </c>
      <c r="D6" s="21"/>
      <c r="E6" s="21"/>
      <c r="F6" s="12" t="s">
        <v>207</v>
      </c>
      <c r="G6" s="5" t="s">
        <v>208</v>
      </c>
    </row>
    <row r="7" spans="1:7">
      <c r="A7" s="4" t="s">
        <v>209</v>
      </c>
      <c r="B7" s="12" t="s">
        <v>210</v>
      </c>
      <c r="C7" s="18">
        <v>7942</v>
      </c>
      <c r="D7" s="21"/>
      <c r="E7" s="21"/>
      <c r="F7" s="12" t="s">
        <v>207</v>
      </c>
      <c r="G7" s="5" t="s">
        <v>211</v>
      </c>
    </row>
    <row r="8" spans="1:7">
      <c r="A8" s="4" t="s">
        <v>212</v>
      </c>
      <c r="B8" s="12" t="s">
        <v>213</v>
      </c>
      <c r="C8" s="18">
        <v>258</v>
      </c>
      <c r="D8" s="21"/>
      <c r="E8" s="21"/>
      <c r="F8" s="12" t="s">
        <v>207</v>
      </c>
      <c r="G8" s="5" t="s">
        <v>214</v>
      </c>
    </row>
    <row r="9" spans="1:7">
      <c r="A9" s="4" t="s">
        <v>215</v>
      </c>
      <c r="B9" s="12" t="s">
        <v>216</v>
      </c>
      <c r="C9" s="18">
        <v>4</v>
      </c>
      <c r="D9" s="21"/>
      <c r="E9" s="21"/>
      <c r="F9" s="12" t="s">
        <v>207</v>
      </c>
      <c r="G9" s="5" t="s">
        <v>217</v>
      </c>
    </row>
    <row r="10" spans="1:7">
      <c r="A10" s="4" t="s">
        <v>218</v>
      </c>
      <c r="B10" s="12" t="s">
        <v>219</v>
      </c>
      <c r="C10" s="18">
        <v>3</v>
      </c>
      <c r="D10" s="21">
        <v>46221</v>
      </c>
      <c r="E10" s="21">
        <v>46223</v>
      </c>
      <c r="F10" s="12" t="s">
        <v>220</v>
      </c>
      <c r="G10" s="5" t="s">
        <v>221</v>
      </c>
    </row>
    <row r="11" spans="1:7">
      <c r="A11" s="4" t="s">
        <v>34</v>
      </c>
      <c r="B11" s="12" t="s">
        <v>222</v>
      </c>
      <c r="C11" s="18">
        <v>1135</v>
      </c>
      <c r="D11" s="21">
        <v>45582</v>
      </c>
      <c r="E11" s="21">
        <v>46185</v>
      </c>
      <c r="F11" s="12" t="s">
        <v>223</v>
      </c>
      <c r="G11" s="5" t="s">
        <v>224</v>
      </c>
    </row>
    <row r="12" spans="1:7">
      <c r="A12" s="4" t="s">
        <v>225</v>
      </c>
      <c r="B12" s="12" t="s">
        <v>226</v>
      </c>
      <c r="C12" s="18">
        <v>3510</v>
      </c>
      <c r="D12" s="21">
        <v>45582</v>
      </c>
      <c r="E12" s="21">
        <v>46205</v>
      </c>
      <c r="F12" s="12" t="s">
        <v>223</v>
      </c>
      <c r="G12" s="5" t="s">
        <v>227</v>
      </c>
    </row>
    <row r="13" spans="1:7">
      <c r="A13" s="4" t="s">
        <v>228</v>
      </c>
      <c r="B13" s="12" t="s">
        <v>229</v>
      </c>
      <c r="C13" s="18">
        <v>2257</v>
      </c>
      <c r="D13" s="21">
        <v>46051</v>
      </c>
      <c r="E13" s="21">
        <v>46073</v>
      </c>
      <c r="F13" s="12" t="s">
        <v>230</v>
      </c>
      <c r="G13" s="5" t="s">
        <v>231</v>
      </c>
    </row>
    <row r="14" spans="1:7">
      <c r="A14" s="4" t="s">
        <v>232</v>
      </c>
      <c r="B14" s="12" t="s">
        <v>233</v>
      </c>
      <c r="C14" s="18">
        <v>5743</v>
      </c>
      <c r="D14" s="21">
        <v>45994</v>
      </c>
      <c r="E14" s="21">
        <v>46177</v>
      </c>
      <c r="F14" s="12" t="s">
        <v>223</v>
      </c>
      <c r="G14" s="5" t="s">
        <v>234</v>
      </c>
    </row>
    <row r="15" spans="1:7">
      <c r="A15" s="4" t="s">
        <v>235</v>
      </c>
      <c r="B15" s="12" t="s">
        <v>236</v>
      </c>
      <c r="C15" s="18">
        <v>65</v>
      </c>
      <c r="D15" s="21">
        <v>46052</v>
      </c>
      <c r="E15" s="21">
        <v>46055</v>
      </c>
      <c r="F15" s="12" t="s">
        <v>223</v>
      </c>
      <c r="G15" s="5" t="s">
        <v>237</v>
      </c>
    </row>
    <row r="16" spans="1:7">
      <c r="A16" s="4" t="s">
        <v>238</v>
      </c>
      <c r="B16" s="12" t="s">
        <v>239</v>
      </c>
      <c r="C16" s="18">
        <v>8</v>
      </c>
      <c r="D16" s="21">
        <v>46223</v>
      </c>
      <c r="E16" s="21">
        <v>46226</v>
      </c>
      <c r="F16" s="12" t="s">
        <v>240</v>
      </c>
      <c r="G16" s="5" t="s">
        <v>241</v>
      </c>
    </row>
    <row r="17" spans="1:7">
      <c r="A17" s="4" t="s">
        <v>242</v>
      </c>
      <c r="B17" s="12" t="s">
        <v>243</v>
      </c>
      <c r="C17" s="18">
        <v>9</v>
      </c>
      <c r="D17" s="21">
        <v>46223.506203703706</v>
      </c>
      <c r="E17" s="21">
        <v>46226.580567129633</v>
      </c>
      <c r="F17" s="12" t="s">
        <v>244</v>
      </c>
      <c r="G17" s="5" t="s">
        <v>245</v>
      </c>
    </row>
    <row r="18" spans="1:7">
      <c r="A18" s="4" t="s">
        <v>246</v>
      </c>
      <c r="B18" s="12" t="s">
        <v>247</v>
      </c>
      <c r="C18" s="18">
        <v>1</v>
      </c>
      <c r="D18" s="21">
        <v>46225</v>
      </c>
      <c r="E18" s="21">
        <v>46225</v>
      </c>
      <c r="F18" s="12" t="s">
        <v>248</v>
      </c>
      <c r="G18" s="5" t="s">
        <v>249</v>
      </c>
    </row>
    <row r="19" spans="1:7">
      <c r="A19" s="4" t="s">
        <v>250</v>
      </c>
      <c r="B19" s="12" t="s">
        <v>251</v>
      </c>
      <c r="C19" s="18">
        <v>2</v>
      </c>
      <c r="D19" s="21">
        <v>46223</v>
      </c>
      <c r="E19" s="21">
        <v>46223</v>
      </c>
      <c r="F19" s="12" t="s">
        <v>220</v>
      </c>
      <c r="G19" s="5" t="s">
        <v>252</v>
      </c>
    </row>
    <row r="20" spans="1:7">
      <c r="A20" s="4" t="s">
        <v>253</v>
      </c>
      <c r="B20" s="12" t="s">
        <v>254</v>
      </c>
      <c r="C20" s="18">
        <v>10079</v>
      </c>
      <c r="D20" s="21">
        <v>46163.58258101852</v>
      </c>
      <c r="E20" s="21">
        <v>46226.587372685186</v>
      </c>
      <c r="F20" s="12" t="s">
        <v>203</v>
      </c>
      <c r="G20" s="5" t="s">
        <v>255</v>
      </c>
    </row>
    <row r="21" spans="1:7">
      <c r="A21" s="4" t="s">
        <v>256</v>
      </c>
      <c r="B21" s="12" t="s">
        <v>257</v>
      </c>
      <c r="C21" s="18">
        <v>2258</v>
      </c>
      <c r="D21" s="21"/>
      <c r="E21" s="21"/>
      <c r="F21" s="12" t="s">
        <v>207</v>
      </c>
      <c r="G21" s="5" t="s">
        <v>258</v>
      </c>
    </row>
    <row r="22" spans="1:7" ht="28.5">
      <c r="A22" s="4" t="s">
        <v>103</v>
      </c>
      <c r="B22" s="12" t="s">
        <v>259</v>
      </c>
      <c r="C22" s="18">
        <v>19</v>
      </c>
      <c r="D22" s="21">
        <v>46199</v>
      </c>
      <c r="E22" s="21">
        <v>46209</v>
      </c>
      <c r="F22" s="12" t="s">
        <v>260</v>
      </c>
      <c r="G22" s="5" t="s">
        <v>261</v>
      </c>
    </row>
    <row r="23" spans="1:7">
      <c r="A23" s="4" t="s">
        <v>262</v>
      </c>
      <c r="B23" s="12" t="s">
        <v>263</v>
      </c>
      <c r="C23" s="18">
        <v>23</v>
      </c>
      <c r="D23" s="21">
        <v>46141</v>
      </c>
      <c r="E23" s="21">
        <v>46210</v>
      </c>
      <c r="F23" s="12" t="s">
        <v>264</v>
      </c>
      <c r="G23" s="5" t="s">
        <v>265</v>
      </c>
    </row>
    <row r="24" spans="1:7" ht="28.5">
      <c r="A24" s="4" t="s">
        <v>266</v>
      </c>
      <c r="B24" s="12" t="s">
        <v>267</v>
      </c>
      <c r="C24" s="18">
        <v>9</v>
      </c>
      <c r="D24" s="21">
        <v>45994</v>
      </c>
      <c r="E24" s="21">
        <v>46210</v>
      </c>
      <c r="F24" s="12" t="s">
        <v>268</v>
      </c>
      <c r="G24" s="5" t="s">
        <v>269</v>
      </c>
    </row>
    <row r="25" spans="1:7">
      <c r="A25" s="4" t="s">
        <v>270</v>
      </c>
      <c r="B25" s="12" t="s">
        <v>271</v>
      </c>
      <c r="C25" s="18">
        <v>129</v>
      </c>
      <c r="D25" s="21">
        <v>46163</v>
      </c>
      <c r="E25" s="21">
        <v>46198</v>
      </c>
      <c r="F25" s="12" t="s">
        <v>272</v>
      </c>
      <c r="G25" s="5" t="s">
        <v>273</v>
      </c>
    </row>
    <row r="26" spans="1:7">
      <c r="A26" s="4" t="s">
        <v>274</v>
      </c>
      <c r="B26" s="12" t="s">
        <v>275</v>
      </c>
      <c r="C26" s="18">
        <v>3107</v>
      </c>
      <c r="D26" s="21">
        <v>45660.712372685186</v>
      </c>
      <c r="E26" s="21">
        <v>46079.618680555555</v>
      </c>
      <c r="F26" s="12" t="s">
        <v>276</v>
      </c>
      <c r="G26" s="5" t="s">
        <v>277</v>
      </c>
    </row>
    <row r="27" spans="1:7">
      <c r="A27" s="4" t="s">
        <v>278</v>
      </c>
      <c r="B27" s="12" t="s">
        <v>279</v>
      </c>
      <c r="C27" s="18">
        <v>0</v>
      </c>
      <c r="D27" s="21"/>
      <c r="E27" s="21"/>
      <c r="F27" s="12" t="s">
        <v>280</v>
      </c>
      <c r="G27" s="5" t="s">
        <v>281</v>
      </c>
    </row>
    <row r="28" spans="1:7">
      <c r="A28" s="4" t="s">
        <v>124</v>
      </c>
      <c r="B28" s="12" t="s">
        <v>282</v>
      </c>
      <c r="C28" s="18">
        <v>3</v>
      </c>
      <c r="D28" s="21">
        <v>46225</v>
      </c>
      <c r="E28" s="21">
        <v>46226</v>
      </c>
      <c r="F28" s="12" t="s">
        <v>283</v>
      </c>
      <c r="G28" s="5" t="s">
        <v>284</v>
      </c>
    </row>
    <row r="29" spans="1:7" ht="28.5">
      <c r="A29" s="4" t="s">
        <v>44</v>
      </c>
      <c r="B29" s="12" t="s">
        <v>285</v>
      </c>
      <c r="C29" s="18">
        <v>4892</v>
      </c>
      <c r="D29" s="21">
        <v>45955</v>
      </c>
      <c r="E29" s="21">
        <v>46216</v>
      </c>
      <c r="F29" s="12" t="s">
        <v>286</v>
      </c>
      <c r="G29" s="5" t="s">
        <v>287</v>
      </c>
    </row>
    <row r="30" spans="1:7">
      <c r="A30" s="4" t="s">
        <v>288</v>
      </c>
      <c r="B30" s="12" t="s">
        <v>289</v>
      </c>
      <c r="C30" s="18">
        <v>6</v>
      </c>
      <c r="D30" s="21">
        <v>46149.783773148149</v>
      </c>
      <c r="E30" s="21">
        <v>46214.413402777776</v>
      </c>
      <c r="F30" s="12" t="s">
        <v>290</v>
      </c>
      <c r="G30" s="5" t="s">
        <v>291</v>
      </c>
    </row>
    <row r="31" spans="1:7">
      <c r="A31" s="4" t="s">
        <v>292</v>
      </c>
      <c r="B31" s="12" t="s">
        <v>293</v>
      </c>
      <c r="C31" s="18">
        <v>1630</v>
      </c>
      <c r="D31" s="21">
        <v>46087.644444444442</v>
      </c>
      <c r="E31" s="21">
        <v>46175.314027777778</v>
      </c>
      <c r="F31" s="12" t="s">
        <v>203</v>
      </c>
      <c r="G31" s="5" t="s">
        <v>294</v>
      </c>
    </row>
    <row r="32" spans="1:7">
      <c r="A32" s="4" t="s">
        <v>42</v>
      </c>
      <c r="B32" s="12" t="s">
        <v>295</v>
      </c>
      <c r="C32" s="18">
        <v>9</v>
      </c>
      <c r="D32" s="21">
        <v>46223</v>
      </c>
      <c r="E32" s="21">
        <v>46226</v>
      </c>
      <c r="F32" s="12" t="s">
        <v>260</v>
      </c>
      <c r="G32" s="5" t="s">
        <v>296</v>
      </c>
    </row>
    <row r="33" spans="1:7">
      <c r="A33" s="4" t="s">
        <v>297</v>
      </c>
      <c r="B33" s="12" t="s">
        <v>298</v>
      </c>
      <c r="C33" s="18">
        <v>0</v>
      </c>
      <c r="D33" s="21"/>
      <c r="E33" s="21"/>
      <c r="F33" s="12" t="s">
        <v>280</v>
      </c>
      <c r="G33" s="5" t="s">
        <v>299</v>
      </c>
    </row>
    <row r="34" spans="1:7">
      <c r="A34" s="4" t="s">
        <v>300</v>
      </c>
      <c r="B34" s="12" t="s">
        <v>301</v>
      </c>
      <c r="C34" s="18">
        <v>18</v>
      </c>
      <c r="D34" s="21">
        <v>45734</v>
      </c>
      <c r="E34" s="21">
        <v>45740</v>
      </c>
      <c r="F34" s="12" t="s">
        <v>302</v>
      </c>
      <c r="G34" s="5" t="s">
        <v>303</v>
      </c>
    </row>
    <row r="35" spans="1:7">
      <c r="A35" s="4" t="s">
        <v>304</v>
      </c>
      <c r="B35" s="12" t="s">
        <v>305</v>
      </c>
      <c r="C35" s="18">
        <v>991</v>
      </c>
      <c r="D35" s="21">
        <v>46027</v>
      </c>
      <c r="E35" s="21">
        <v>46079</v>
      </c>
      <c r="F35" s="12" t="s">
        <v>306</v>
      </c>
      <c r="G35" s="5" t="s">
        <v>307</v>
      </c>
    </row>
    <row r="36" spans="1:7">
      <c r="A36" s="4" t="s">
        <v>308</v>
      </c>
      <c r="B36" s="12" t="s">
        <v>309</v>
      </c>
      <c r="C36" s="18">
        <v>24</v>
      </c>
      <c r="D36" s="21"/>
      <c r="E36" s="21"/>
      <c r="F36" s="12" t="s">
        <v>207</v>
      </c>
      <c r="G36" s="5" t="s">
        <v>310</v>
      </c>
    </row>
    <row r="37" spans="1:7">
      <c r="A37" s="4" t="s">
        <v>311</v>
      </c>
      <c r="B37" s="12" t="s">
        <v>312</v>
      </c>
      <c r="C37" s="18">
        <v>3</v>
      </c>
      <c r="D37" s="21">
        <v>46071.508333333331</v>
      </c>
      <c r="E37" s="21">
        <v>46073.097604166665</v>
      </c>
      <c r="F37" s="12" t="s">
        <v>313</v>
      </c>
      <c r="G37" s="5" t="s">
        <v>314</v>
      </c>
    </row>
    <row r="38" spans="1:7">
      <c r="A38" s="6" t="s">
        <v>168</v>
      </c>
      <c r="B38" s="13" t="s">
        <v>315</v>
      </c>
      <c r="C38" s="19">
        <v>142</v>
      </c>
      <c r="D38" s="22"/>
      <c r="E38" s="22"/>
      <c r="F38" s="13" t="s">
        <v>207</v>
      </c>
      <c r="G38" s="7" t="s">
        <v>316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workbookViewId="0">
      <selection sqref="A1:D1"/>
    </sheetView>
  </sheetViews>
  <sheetFormatPr defaultRowHeight="14.25"/>
  <cols>
    <col min="1" max="1" width="28" customWidth="1"/>
    <col min="2" max="2" width="16" customWidth="1"/>
    <col min="3" max="3" width="18" customWidth="1"/>
    <col min="4" max="4" width="62" customWidth="1"/>
  </cols>
  <sheetData>
    <row r="1" spans="1:4" ht="30" customHeight="1">
      <c r="A1" s="23" t="s">
        <v>317</v>
      </c>
      <c r="B1" s="23"/>
      <c r="C1" s="23"/>
      <c r="D1" s="23"/>
    </row>
    <row r="2" spans="1:4" ht="27.95" customHeight="1">
      <c r="A2" s="24" t="s">
        <v>318</v>
      </c>
      <c r="B2" s="24"/>
      <c r="C2" s="24"/>
      <c r="D2" s="24"/>
    </row>
    <row r="4" spans="1:4" ht="33.950000000000003" customHeight="1">
      <c r="A4" s="1" t="s">
        <v>319</v>
      </c>
      <c r="B4" s="1" t="s">
        <v>320</v>
      </c>
      <c r="C4" s="1" t="s">
        <v>321</v>
      </c>
      <c r="D4" s="1" t="s">
        <v>322</v>
      </c>
    </row>
    <row r="5" spans="1:4" ht="28.5">
      <c r="A5" s="2" t="s">
        <v>323</v>
      </c>
      <c r="B5" s="17">
        <v>24</v>
      </c>
      <c r="C5" s="17">
        <v>1746</v>
      </c>
      <c r="D5" s="3" t="s">
        <v>324</v>
      </c>
    </row>
    <row r="6" spans="1:4" ht="28.5">
      <c r="A6" s="4" t="s">
        <v>325</v>
      </c>
      <c r="B6" s="18">
        <v>44</v>
      </c>
      <c r="C6" s="18">
        <v>20076</v>
      </c>
      <c r="D6" s="5" t="s">
        <v>326</v>
      </c>
    </row>
    <row r="7" spans="1:4">
      <c r="A7" s="4" t="s">
        <v>327</v>
      </c>
      <c r="B7" s="18">
        <v>7</v>
      </c>
      <c r="C7" s="18">
        <v>216</v>
      </c>
      <c r="D7" s="5" t="s">
        <v>328</v>
      </c>
    </row>
    <row r="8" spans="1:4">
      <c r="A8" s="4" t="s">
        <v>329</v>
      </c>
      <c r="B8" s="18">
        <v>7</v>
      </c>
      <c r="C8" s="18">
        <v>38</v>
      </c>
      <c r="D8" s="5" t="s">
        <v>330</v>
      </c>
    </row>
    <row r="9" spans="1:4">
      <c r="A9" s="4" t="s">
        <v>331</v>
      </c>
      <c r="B9" s="18">
        <v>9</v>
      </c>
      <c r="C9" s="18">
        <v>5493</v>
      </c>
      <c r="D9" s="5" t="s">
        <v>332</v>
      </c>
    </row>
    <row r="10" spans="1:4">
      <c r="A10" s="4" t="s">
        <v>333</v>
      </c>
      <c r="B10" s="18">
        <v>2</v>
      </c>
      <c r="C10" s="18">
        <v>20120</v>
      </c>
      <c r="D10" s="5" t="s">
        <v>334</v>
      </c>
    </row>
    <row r="11" spans="1:4">
      <c r="A11" s="4" t="s">
        <v>335</v>
      </c>
      <c r="B11" s="18">
        <v>8</v>
      </c>
      <c r="C11" s="18">
        <v>329</v>
      </c>
      <c r="D11" s="5" t="s">
        <v>336</v>
      </c>
    </row>
    <row r="12" spans="1:4">
      <c r="A12" s="4" t="s">
        <v>337</v>
      </c>
      <c r="B12" s="18">
        <v>6</v>
      </c>
      <c r="C12" s="18">
        <v>1681</v>
      </c>
      <c r="D12" s="5" t="s">
        <v>338</v>
      </c>
    </row>
    <row r="13" spans="1:4">
      <c r="A13" s="4" t="s">
        <v>339</v>
      </c>
      <c r="B13" s="18">
        <v>5</v>
      </c>
      <c r="C13" s="18">
        <v>0</v>
      </c>
      <c r="D13" s="5" t="s">
        <v>340</v>
      </c>
    </row>
    <row r="14" spans="1:4" ht="28.5">
      <c r="A14" s="6" t="s">
        <v>341</v>
      </c>
      <c r="B14" s="19">
        <v>143</v>
      </c>
      <c r="C14" s="19">
        <v>100902</v>
      </c>
      <c r="D14" s="7" t="s">
        <v>342</v>
      </c>
    </row>
    <row r="17" spans="1:4" ht="15">
      <c r="A17" s="25" t="s">
        <v>343</v>
      </c>
      <c r="B17" s="25"/>
      <c r="C17" s="25"/>
      <c r="D17" s="25"/>
    </row>
    <row r="18" spans="1:4" ht="28.5">
      <c r="A18" s="2" t="s">
        <v>344</v>
      </c>
      <c r="B18" s="3" t="s">
        <v>345</v>
      </c>
    </row>
    <row r="19" spans="1:4">
      <c r="A19" s="4" t="s">
        <v>12</v>
      </c>
      <c r="B19" s="9">
        <v>259</v>
      </c>
    </row>
    <row r="20" spans="1:4">
      <c r="A20" s="4" t="s">
        <v>346</v>
      </c>
      <c r="B20" s="9">
        <v>2987</v>
      </c>
    </row>
    <row r="21" spans="1:4">
      <c r="A21" s="4" t="s">
        <v>347</v>
      </c>
      <c r="B21" s="9">
        <v>35</v>
      </c>
    </row>
    <row r="22" spans="1:4" ht="28.5">
      <c r="A22" s="6" t="s">
        <v>348</v>
      </c>
      <c r="B22" s="7" t="s">
        <v>349</v>
      </c>
    </row>
  </sheetData>
  <mergeCells count="3">
    <mergeCell ref="A1:D1"/>
    <mergeCell ref="A2:D2"/>
    <mergeCell ref="A17:D1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"/>
  <sheetViews>
    <sheetView showGridLines="0" topLeftCell="A88" workbookViewId="0">
      <selection sqref="A1:G1"/>
    </sheetView>
  </sheetViews>
  <sheetFormatPr defaultRowHeight="14.25"/>
  <cols>
    <col min="1" max="1" width="34" customWidth="1"/>
    <col min="2" max="4" width="16" customWidth="1"/>
    <col min="5" max="7" width="22" customWidth="1"/>
  </cols>
  <sheetData>
    <row r="1" spans="1:7" ht="30" customHeight="1">
      <c r="A1" s="23" t="s">
        <v>350</v>
      </c>
      <c r="B1" s="23"/>
      <c r="C1" s="23"/>
      <c r="D1" s="23"/>
      <c r="E1" s="23"/>
      <c r="F1" s="23"/>
      <c r="G1" s="23"/>
    </row>
    <row r="2" spans="1:7" ht="27.95" customHeight="1">
      <c r="A2" s="24" t="s">
        <v>351</v>
      </c>
      <c r="B2" s="24"/>
      <c r="C2" s="24"/>
      <c r="D2" s="24"/>
      <c r="E2" s="24"/>
      <c r="F2" s="24"/>
      <c r="G2" s="24"/>
    </row>
    <row r="4" spans="1:7" ht="33.950000000000003" customHeight="1">
      <c r="A4" s="1" t="s">
        <v>352</v>
      </c>
      <c r="B4" s="1" t="s">
        <v>353</v>
      </c>
      <c r="C4" s="1" t="s">
        <v>348</v>
      </c>
      <c r="D4" s="1" t="s">
        <v>321</v>
      </c>
      <c r="E4" s="1" t="s">
        <v>354</v>
      </c>
      <c r="F4" s="1" t="s">
        <v>355</v>
      </c>
      <c r="G4" s="1" t="s">
        <v>356</v>
      </c>
    </row>
    <row r="5" spans="1:7">
      <c r="A5" s="2" t="s">
        <v>357</v>
      </c>
      <c r="B5" s="11" t="s">
        <v>358</v>
      </c>
      <c r="C5" s="11" t="s">
        <v>359</v>
      </c>
      <c r="D5" s="17">
        <v>0</v>
      </c>
      <c r="E5" s="20" t="s">
        <v>360</v>
      </c>
      <c r="F5" s="20"/>
      <c r="G5" s="3" t="s">
        <v>361</v>
      </c>
    </row>
    <row r="6" spans="1:7">
      <c r="A6" s="4" t="s">
        <v>362</v>
      </c>
      <c r="B6" s="12" t="s">
        <v>358</v>
      </c>
      <c r="C6" s="12" t="s">
        <v>359</v>
      </c>
      <c r="D6" s="18">
        <v>670</v>
      </c>
      <c r="E6" s="21" t="s">
        <v>360</v>
      </c>
      <c r="F6" s="21"/>
      <c r="G6" s="5" t="s">
        <v>44</v>
      </c>
    </row>
    <row r="7" spans="1:7">
      <c r="A7" s="4" t="s">
        <v>363</v>
      </c>
      <c r="B7" s="12" t="s">
        <v>358</v>
      </c>
      <c r="C7" s="12" t="s">
        <v>359</v>
      </c>
      <c r="D7" s="18">
        <v>670</v>
      </c>
      <c r="E7" s="21" t="s">
        <v>360</v>
      </c>
      <c r="F7" s="21"/>
      <c r="G7" s="5" t="s">
        <v>44</v>
      </c>
    </row>
    <row r="8" spans="1:7">
      <c r="A8" s="4" t="s">
        <v>364</v>
      </c>
      <c r="B8" s="12" t="s">
        <v>358</v>
      </c>
      <c r="C8" s="12" t="s">
        <v>359</v>
      </c>
      <c r="D8" s="18">
        <v>3351</v>
      </c>
      <c r="E8" s="21" t="s">
        <v>360</v>
      </c>
      <c r="F8" s="21"/>
      <c r="G8" s="5" t="s">
        <v>44</v>
      </c>
    </row>
    <row r="9" spans="1:7">
      <c r="A9" s="4" t="s">
        <v>365</v>
      </c>
      <c r="B9" s="12" t="s">
        <v>358</v>
      </c>
      <c r="C9" s="12" t="s">
        <v>359</v>
      </c>
      <c r="D9" s="18">
        <v>3</v>
      </c>
      <c r="E9" s="21" t="s">
        <v>360</v>
      </c>
      <c r="F9" s="21"/>
      <c r="G9" s="5" t="s">
        <v>44</v>
      </c>
    </row>
    <row r="10" spans="1:7">
      <c r="A10" s="4" t="s">
        <v>366</v>
      </c>
      <c r="B10" s="12" t="s">
        <v>358</v>
      </c>
      <c r="C10" s="12" t="s">
        <v>359</v>
      </c>
      <c r="D10" s="18">
        <v>747</v>
      </c>
      <c r="E10" s="21" t="s">
        <v>360</v>
      </c>
      <c r="F10" s="21"/>
      <c r="G10" s="5" t="s">
        <v>44</v>
      </c>
    </row>
    <row r="11" spans="1:7">
      <c r="A11" s="4" t="s">
        <v>367</v>
      </c>
      <c r="B11" s="12" t="s">
        <v>358</v>
      </c>
      <c r="C11" s="12" t="s">
        <v>359</v>
      </c>
      <c r="D11" s="18">
        <v>17</v>
      </c>
      <c r="E11" s="21" t="s">
        <v>360</v>
      </c>
      <c r="F11" s="21"/>
      <c r="G11" s="5" t="s">
        <v>44</v>
      </c>
    </row>
    <row r="12" spans="1:7">
      <c r="A12" s="4" t="s">
        <v>368</v>
      </c>
      <c r="B12" s="12" t="s">
        <v>358</v>
      </c>
      <c r="C12" s="12" t="s">
        <v>359</v>
      </c>
      <c r="D12" s="18">
        <v>0</v>
      </c>
      <c r="E12" s="21" t="s">
        <v>360</v>
      </c>
      <c r="F12" s="21"/>
      <c r="G12" s="5" t="s">
        <v>44</v>
      </c>
    </row>
    <row r="13" spans="1:7">
      <c r="A13" s="4" t="s">
        <v>369</v>
      </c>
      <c r="B13" s="12" t="s">
        <v>358</v>
      </c>
      <c r="C13" s="12" t="s">
        <v>359</v>
      </c>
      <c r="D13" s="18">
        <v>31</v>
      </c>
      <c r="E13" s="21" t="s">
        <v>360</v>
      </c>
      <c r="F13" s="21"/>
      <c r="G13" s="5" t="s">
        <v>44</v>
      </c>
    </row>
    <row r="14" spans="1:7">
      <c r="A14" s="4" t="s">
        <v>370</v>
      </c>
      <c r="B14" s="12" t="s">
        <v>358</v>
      </c>
      <c r="C14" s="12" t="s">
        <v>359</v>
      </c>
      <c r="D14" s="18">
        <v>4</v>
      </c>
      <c r="E14" s="21" t="s">
        <v>360</v>
      </c>
      <c r="F14" s="21"/>
      <c r="G14" s="5" t="s">
        <v>44</v>
      </c>
    </row>
    <row r="15" spans="1:7">
      <c r="A15" s="4" t="s">
        <v>371</v>
      </c>
      <c r="B15" s="12" t="s">
        <v>358</v>
      </c>
      <c r="C15" s="12" t="s">
        <v>359</v>
      </c>
      <c r="D15" s="18">
        <v>2</v>
      </c>
      <c r="E15" s="21" t="s">
        <v>360</v>
      </c>
      <c r="F15" s="21"/>
      <c r="G15" s="5" t="s">
        <v>361</v>
      </c>
    </row>
    <row r="16" spans="1:7">
      <c r="A16" s="4" t="s">
        <v>372</v>
      </c>
      <c r="B16" s="12" t="s">
        <v>358</v>
      </c>
      <c r="C16" s="12" t="s">
        <v>359</v>
      </c>
      <c r="D16" s="18">
        <v>2</v>
      </c>
      <c r="E16" s="21" t="s">
        <v>360</v>
      </c>
      <c r="F16" s="21"/>
      <c r="G16" s="5" t="s">
        <v>361</v>
      </c>
    </row>
    <row r="17" spans="1:7">
      <c r="A17" s="4" t="s">
        <v>373</v>
      </c>
      <c r="B17" s="12" t="s">
        <v>358</v>
      </c>
      <c r="C17" s="12" t="s">
        <v>359</v>
      </c>
      <c r="D17" s="18">
        <v>30</v>
      </c>
      <c r="E17" s="21" t="s">
        <v>360</v>
      </c>
      <c r="F17" s="21"/>
      <c r="G17" s="5" t="s">
        <v>361</v>
      </c>
    </row>
    <row r="18" spans="1:7">
      <c r="A18" s="4" t="s">
        <v>374</v>
      </c>
      <c r="B18" s="12" t="s">
        <v>358</v>
      </c>
      <c r="C18" s="12" t="s">
        <v>359</v>
      </c>
      <c r="D18" s="18">
        <v>174</v>
      </c>
      <c r="E18" s="21" t="s">
        <v>360</v>
      </c>
      <c r="F18" s="21"/>
      <c r="G18" s="5" t="s">
        <v>361</v>
      </c>
    </row>
    <row r="19" spans="1:7">
      <c r="A19" s="4" t="s">
        <v>375</v>
      </c>
      <c r="B19" s="12" t="s">
        <v>358</v>
      </c>
      <c r="C19" s="12" t="s">
        <v>359</v>
      </c>
      <c r="D19" s="18">
        <v>94</v>
      </c>
      <c r="E19" s="21" t="s">
        <v>360</v>
      </c>
      <c r="F19" s="21"/>
      <c r="G19" s="5" t="s">
        <v>361</v>
      </c>
    </row>
    <row r="20" spans="1:7">
      <c r="A20" s="4" t="s">
        <v>376</v>
      </c>
      <c r="B20" s="12" t="s">
        <v>358</v>
      </c>
      <c r="C20" s="12" t="s">
        <v>359</v>
      </c>
      <c r="D20" s="18">
        <v>9</v>
      </c>
      <c r="E20" s="21" t="s">
        <v>360</v>
      </c>
      <c r="F20" s="21"/>
      <c r="G20" s="5" t="s">
        <v>361</v>
      </c>
    </row>
    <row r="21" spans="1:7">
      <c r="A21" s="4" t="s">
        <v>377</v>
      </c>
      <c r="B21" s="12" t="s">
        <v>358</v>
      </c>
      <c r="C21" s="12" t="s">
        <v>359</v>
      </c>
      <c r="D21" s="18">
        <v>0</v>
      </c>
      <c r="E21" s="21" t="s">
        <v>360</v>
      </c>
      <c r="F21" s="21"/>
      <c r="G21" s="5" t="s">
        <v>361</v>
      </c>
    </row>
    <row r="22" spans="1:7">
      <c r="A22" s="4" t="s">
        <v>378</v>
      </c>
      <c r="B22" s="12" t="s">
        <v>358</v>
      </c>
      <c r="C22" s="12" t="s">
        <v>359</v>
      </c>
      <c r="D22" s="18">
        <v>18</v>
      </c>
      <c r="E22" s="21" t="s">
        <v>360</v>
      </c>
      <c r="F22" s="21"/>
      <c r="G22" s="5" t="s">
        <v>361</v>
      </c>
    </row>
    <row r="23" spans="1:7">
      <c r="A23" s="4" t="s">
        <v>379</v>
      </c>
      <c r="B23" s="12" t="s">
        <v>358</v>
      </c>
      <c r="C23" s="12" t="s">
        <v>359</v>
      </c>
      <c r="D23" s="18">
        <v>9974</v>
      </c>
      <c r="E23" s="21" t="s">
        <v>360</v>
      </c>
      <c r="F23" s="21" t="s">
        <v>380</v>
      </c>
      <c r="G23" s="5" t="s">
        <v>381</v>
      </c>
    </row>
    <row r="24" spans="1:7">
      <c r="A24" s="4" t="s">
        <v>382</v>
      </c>
      <c r="B24" s="12" t="s">
        <v>358</v>
      </c>
      <c r="C24" s="12" t="s">
        <v>359</v>
      </c>
      <c r="D24" s="18">
        <v>10150</v>
      </c>
      <c r="E24" s="21" t="s">
        <v>360</v>
      </c>
      <c r="F24" s="21" t="s">
        <v>380</v>
      </c>
      <c r="G24" s="5" t="s">
        <v>381</v>
      </c>
    </row>
    <row r="25" spans="1:7">
      <c r="A25" s="4" t="s">
        <v>289</v>
      </c>
      <c r="B25" s="12" t="s">
        <v>358</v>
      </c>
      <c r="C25" s="12" t="s">
        <v>359</v>
      </c>
      <c r="D25" s="18">
        <v>6</v>
      </c>
      <c r="E25" s="21" t="s">
        <v>360</v>
      </c>
      <c r="F25" s="21"/>
      <c r="G25" s="5" t="s">
        <v>383</v>
      </c>
    </row>
    <row r="26" spans="1:7">
      <c r="A26" s="4" t="s">
        <v>384</v>
      </c>
      <c r="B26" s="12" t="s">
        <v>358</v>
      </c>
      <c r="C26" s="12" t="s">
        <v>359</v>
      </c>
      <c r="D26" s="18">
        <v>7</v>
      </c>
      <c r="E26" s="21" t="s">
        <v>360</v>
      </c>
      <c r="F26" s="21"/>
      <c r="G26" s="5" t="s">
        <v>383</v>
      </c>
    </row>
    <row r="27" spans="1:7">
      <c r="A27" s="4" t="s">
        <v>385</v>
      </c>
      <c r="B27" s="12" t="s">
        <v>358</v>
      </c>
      <c r="C27" s="12" t="s">
        <v>359</v>
      </c>
      <c r="D27" s="18">
        <v>10</v>
      </c>
      <c r="E27" s="21" t="s">
        <v>360</v>
      </c>
      <c r="F27" s="21"/>
      <c r="G27" s="5" t="s">
        <v>383</v>
      </c>
    </row>
    <row r="28" spans="1:7">
      <c r="A28" s="4" t="s">
        <v>386</v>
      </c>
      <c r="B28" s="12" t="s">
        <v>358</v>
      </c>
      <c r="C28" s="12" t="s">
        <v>359</v>
      </c>
      <c r="D28" s="18">
        <v>5</v>
      </c>
      <c r="E28" s="21" t="s">
        <v>360</v>
      </c>
      <c r="F28" s="21"/>
      <c r="G28" s="5" t="s">
        <v>383</v>
      </c>
    </row>
    <row r="29" spans="1:7">
      <c r="A29" s="4" t="s">
        <v>387</v>
      </c>
      <c r="B29" s="12" t="s">
        <v>358</v>
      </c>
      <c r="C29" s="12" t="s">
        <v>359</v>
      </c>
      <c r="D29" s="18">
        <v>5</v>
      </c>
      <c r="E29" s="21" t="s">
        <v>360</v>
      </c>
      <c r="F29" s="21"/>
      <c r="G29" s="5" t="s">
        <v>383</v>
      </c>
    </row>
    <row r="30" spans="1:7">
      <c r="A30" s="4" t="s">
        <v>388</v>
      </c>
      <c r="B30" s="12" t="s">
        <v>358</v>
      </c>
      <c r="C30" s="12" t="s">
        <v>359</v>
      </c>
      <c r="D30" s="18">
        <v>5</v>
      </c>
      <c r="E30" s="21" t="s">
        <v>360</v>
      </c>
      <c r="F30" s="21"/>
      <c r="G30" s="5" t="s">
        <v>383</v>
      </c>
    </row>
    <row r="31" spans="1:7">
      <c r="A31" s="4" t="s">
        <v>389</v>
      </c>
      <c r="B31" s="12" t="s">
        <v>358</v>
      </c>
      <c r="C31" s="12" t="s">
        <v>359</v>
      </c>
      <c r="D31" s="18">
        <v>0</v>
      </c>
      <c r="E31" s="21" t="s">
        <v>360</v>
      </c>
      <c r="F31" s="21"/>
      <c r="G31" s="5" t="s">
        <v>383</v>
      </c>
    </row>
    <row r="32" spans="1:7">
      <c r="A32" s="4" t="s">
        <v>390</v>
      </c>
      <c r="B32" s="12" t="s">
        <v>358</v>
      </c>
      <c r="C32" s="12" t="s">
        <v>359</v>
      </c>
      <c r="D32" s="18">
        <v>559</v>
      </c>
      <c r="E32" s="21" t="s">
        <v>360</v>
      </c>
      <c r="F32" s="21"/>
      <c r="G32" s="5" t="s">
        <v>391</v>
      </c>
    </row>
    <row r="33" spans="1:7">
      <c r="A33" s="4" t="s">
        <v>392</v>
      </c>
      <c r="B33" s="12" t="s">
        <v>358</v>
      </c>
      <c r="C33" s="12" t="s">
        <v>359</v>
      </c>
      <c r="D33" s="18">
        <v>501</v>
      </c>
      <c r="E33" s="21" t="s">
        <v>393</v>
      </c>
      <c r="F33" s="21"/>
      <c r="G33" s="5" t="s">
        <v>391</v>
      </c>
    </row>
    <row r="34" spans="1:7">
      <c r="A34" s="4" t="s">
        <v>394</v>
      </c>
      <c r="B34" s="12" t="s">
        <v>358</v>
      </c>
      <c r="C34" s="12" t="s">
        <v>359</v>
      </c>
      <c r="D34" s="18">
        <v>0</v>
      </c>
      <c r="E34" s="21" t="s">
        <v>360</v>
      </c>
      <c r="F34" s="21"/>
      <c r="G34" s="5" t="s">
        <v>391</v>
      </c>
    </row>
    <row r="35" spans="1:7">
      <c r="A35" s="4" t="s">
        <v>395</v>
      </c>
      <c r="B35" s="12" t="s">
        <v>358</v>
      </c>
      <c r="C35" s="12" t="s">
        <v>359</v>
      </c>
      <c r="D35" s="18">
        <v>25</v>
      </c>
      <c r="E35" s="21" t="s">
        <v>360</v>
      </c>
      <c r="F35" s="21"/>
      <c r="G35" s="5" t="s">
        <v>391</v>
      </c>
    </row>
    <row r="36" spans="1:7">
      <c r="A36" s="4" t="s">
        <v>396</v>
      </c>
      <c r="B36" s="12" t="s">
        <v>358</v>
      </c>
      <c r="C36" s="12" t="s">
        <v>359</v>
      </c>
      <c r="D36" s="18">
        <v>12</v>
      </c>
      <c r="E36" s="21" t="s">
        <v>360</v>
      </c>
      <c r="F36" s="21" t="s">
        <v>380</v>
      </c>
      <c r="G36" s="5" t="s">
        <v>391</v>
      </c>
    </row>
    <row r="37" spans="1:7">
      <c r="A37" s="4" t="s">
        <v>397</v>
      </c>
      <c r="B37" s="12" t="s">
        <v>358</v>
      </c>
      <c r="C37" s="12" t="s">
        <v>359</v>
      </c>
      <c r="D37" s="18">
        <v>36</v>
      </c>
      <c r="E37" s="21" t="s">
        <v>360</v>
      </c>
      <c r="F37" s="21" t="s">
        <v>380</v>
      </c>
      <c r="G37" s="5" t="s">
        <v>391</v>
      </c>
    </row>
    <row r="38" spans="1:7">
      <c r="A38" s="4" t="s">
        <v>398</v>
      </c>
      <c r="B38" s="12" t="s">
        <v>358</v>
      </c>
      <c r="C38" s="12" t="s">
        <v>359</v>
      </c>
      <c r="D38" s="18">
        <v>13</v>
      </c>
      <c r="E38" s="21" t="s">
        <v>360</v>
      </c>
      <c r="F38" s="21" t="s">
        <v>380</v>
      </c>
      <c r="G38" s="5" t="s">
        <v>391</v>
      </c>
    </row>
    <row r="39" spans="1:7">
      <c r="A39" s="4" t="s">
        <v>399</v>
      </c>
      <c r="B39" s="12" t="s">
        <v>358</v>
      </c>
      <c r="C39" s="12" t="s">
        <v>359</v>
      </c>
      <c r="D39" s="18">
        <v>0</v>
      </c>
      <c r="E39" s="21" t="s">
        <v>393</v>
      </c>
      <c r="F39" s="21"/>
      <c r="G39" s="5" t="s">
        <v>391</v>
      </c>
    </row>
    <row r="40" spans="1:7">
      <c r="A40" s="4" t="s">
        <v>400</v>
      </c>
      <c r="B40" s="12" t="s">
        <v>358</v>
      </c>
      <c r="C40" s="12" t="s">
        <v>359</v>
      </c>
      <c r="D40" s="18">
        <v>23</v>
      </c>
      <c r="E40" s="21" t="s">
        <v>393</v>
      </c>
      <c r="F40" s="21"/>
      <c r="G40" s="5" t="s">
        <v>391</v>
      </c>
    </row>
    <row r="41" spans="1:7">
      <c r="A41" s="4" t="s">
        <v>401</v>
      </c>
      <c r="B41" s="12" t="s">
        <v>358</v>
      </c>
      <c r="C41" s="12" t="s">
        <v>359</v>
      </c>
      <c r="D41" s="18">
        <v>5</v>
      </c>
      <c r="E41" s="21" t="s">
        <v>402</v>
      </c>
      <c r="F41" s="21"/>
      <c r="G41" s="5" t="s">
        <v>391</v>
      </c>
    </row>
    <row r="42" spans="1:7">
      <c r="A42" s="4" t="s">
        <v>403</v>
      </c>
      <c r="B42" s="12" t="s">
        <v>358</v>
      </c>
      <c r="C42" s="12" t="s">
        <v>359</v>
      </c>
      <c r="D42" s="18">
        <v>9</v>
      </c>
      <c r="E42" s="21" t="s">
        <v>360</v>
      </c>
      <c r="F42" s="21"/>
      <c r="G42" s="5" t="s">
        <v>391</v>
      </c>
    </row>
    <row r="43" spans="1:7">
      <c r="A43" s="4" t="s">
        <v>404</v>
      </c>
      <c r="B43" s="12" t="s">
        <v>358</v>
      </c>
      <c r="C43" s="12" t="s">
        <v>359</v>
      </c>
      <c r="D43" s="18">
        <v>30</v>
      </c>
      <c r="E43" s="21" t="s">
        <v>360</v>
      </c>
      <c r="F43" s="21"/>
      <c r="G43" s="5" t="s">
        <v>391</v>
      </c>
    </row>
    <row r="44" spans="1:7">
      <c r="A44" s="4" t="s">
        <v>405</v>
      </c>
      <c r="B44" s="12" t="s">
        <v>358</v>
      </c>
      <c r="C44" s="12" t="s">
        <v>359</v>
      </c>
      <c r="D44" s="18">
        <v>1</v>
      </c>
      <c r="E44" s="21" t="s">
        <v>360</v>
      </c>
      <c r="F44" s="21" t="s">
        <v>380</v>
      </c>
      <c r="G44" s="5" t="s">
        <v>391</v>
      </c>
    </row>
    <row r="45" spans="1:7">
      <c r="A45" s="4" t="s">
        <v>406</v>
      </c>
      <c r="B45" s="12" t="s">
        <v>358</v>
      </c>
      <c r="C45" s="12" t="s">
        <v>359</v>
      </c>
      <c r="D45" s="18">
        <v>0</v>
      </c>
      <c r="E45" s="21" t="s">
        <v>360</v>
      </c>
      <c r="F45" s="21"/>
      <c r="G45" s="5" t="s">
        <v>391</v>
      </c>
    </row>
    <row r="46" spans="1:7">
      <c r="A46" s="4" t="s">
        <v>407</v>
      </c>
      <c r="B46" s="12" t="s">
        <v>358</v>
      </c>
      <c r="C46" s="12" t="s">
        <v>359</v>
      </c>
      <c r="D46" s="18">
        <v>0</v>
      </c>
      <c r="E46" s="21" t="s">
        <v>360</v>
      </c>
      <c r="F46" s="21"/>
      <c r="G46" s="5" t="s">
        <v>391</v>
      </c>
    </row>
    <row r="47" spans="1:7">
      <c r="A47" s="4" t="s">
        <v>298</v>
      </c>
      <c r="B47" s="12" t="s">
        <v>358</v>
      </c>
      <c r="C47" s="12" t="s">
        <v>359</v>
      </c>
      <c r="D47" s="18">
        <v>0</v>
      </c>
      <c r="E47" s="21" t="s">
        <v>360</v>
      </c>
      <c r="F47" s="21"/>
      <c r="G47" s="5" t="s">
        <v>391</v>
      </c>
    </row>
    <row r="48" spans="1:7">
      <c r="A48" s="4" t="s">
        <v>408</v>
      </c>
      <c r="B48" s="12" t="s">
        <v>358</v>
      </c>
      <c r="C48" s="12" t="s">
        <v>359</v>
      </c>
      <c r="D48" s="18">
        <v>0</v>
      </c>
      <c r="E48" s="21" t="s">
        <v>360</v>
      </c>
      <c r="F48" s="21"/>
      <c r="G48" s="5" t="s">
        <v>391</v>
      </c>
    </row>
    <row r="49" spans="1:7">
      <c r="A49" s="4" t="s">
        <v>409</v>
      </c>
      <c r="B49" s="12" t="s">
        <v>358</v>
      </c>
      <c r="C49" s="12" t="s">
        <v>359</v>
      </c>
      <c r="D49" s="18">
        <v>0</v>
      </c>
      <c r="E49" s="21" t="s">
        <v>360</v>
      </c>
      <c r="F49" s="21"/>
      <c r="G49" s="5" t="s">
        <v>391</v>
      </c>
    </row>
    <row r="50" spans="1:7">
      <c r="A50" s="4" t="s">
        <v>410</v>
      </c>
      <c r="B50" s="12" t="s">
        <v>358</v>
      </c>
      <c r="C50" s="12" t="s">
        <v>359</v>
      </c>
      <c r="D50" s="18">
        <v>6</v>
      </c>
      <c r="E50" s="21" t="s">
        <v>360</v>
      </c>
      <c r="F50" s="21"/>
      <c r="G50" s="5" t="s">
        <v>391</v>
      </c>
    </row>
    <row r="51" spans="1:7">
      <c r="A51" s="4" t="s">
        <v>411</v>
      </c>
      <c r="B51" s="12" t="s">
        <v>358</v>
      </c>
      <c r="C51" s="12" t="s">
        <v>359</v>
      </c>
      <c r="D51" s="18">
        <v>497</v>
      </c>
      <c r="E51" s="21" t="s">
        <v>393</v>
      </c>
      <c r="F51" s="21"/>
      <c r="G51" s="5" t="s">
        <v>391</v>
      </c>
    </row>
    <row r="52" spans="1:7">
      <c r="A52" s="4" t="s">
        <v>412</v>
      </c>
      <c r="B52" s="12" t="s">
        <v>358</v>
      </c>
      <c r="C52" s="12" t="s">
        <v>359</v>
      </c>
      <c r="D52" s="18">
        <v>0</v>
      </c>
      <c r="E52" s="21" t="s">
        <v>360</v>
      </c>
      <c r="F52" s="21"/>
      <c r="G52" s="5" t="s">
        <v>391</v>
      </c>
    </row>
    <row r="53" spans="1:7">
      <c r="A53" s="4" t="s">
        <v>413</v>
      </c>
      <c r="B53" s="12" t="s">
        <v>358</v>
      </c>
      <c r="C53" s="12" t="s">
        <v>359</v>
      </c>
      <c r="D53" s="18">
        <v>2</v>
      </c>
      <c r="E53" s="21" t="s">
        <v>360</v>
      </c>
      <c r="F53" s="21"/>
      <c r="G53" s="5" t="s">
        <v>391</v>
      </c>
    </row>
    <row r="54" spans="1:7">
      <c r="A54" s="4" t="s">
        <v>414</v>
      </c>
      <c r="B54" s="12" t="s">
        <v>358</v>
      </c>
      <c r="C54" s="12" t="s">
        <v>359</v>
      </c>
      <c r="D54" s="18">
        <v>36</v>
      </c>
      <c r="E54" s="21" t="s">
        <v>393</v>
      </c>
      <c r="F54" s="21"/>
      <c r="G54" s="5" t="s">
        <v>391</v>
      </c>
    </row>
    <row r="55" spans="1:7">
      <c r="A55" s="4" t="s">
        <v>415</v>
      </c>
      <c r="B55" s="12" t="s">
        <v>358</v>
      </c>
      <c r="C55" s="12" t="s">
        <v>359</v>
      </c>
      <c r="D55" s="18">
        <v>12</v>
      </c>
      <c r="E55" s="21" t="s">
        <v>360</v>
      </c>
      <c r="F55" s="21"/>
      <c r="G55" s="5" t="s">
        <v>391</v>
      </c>
    </row>
    <row r="56" spans="1:7">
      <c r="A56" s="4" t="s">
        <v>416</v>
      </c>
      <c r="B56" s="12" t="s">
        <v>358</v>
      </c>
      <c r="C56" s="12" t="s">
        <v>359</v>
      </c>
      <c r="D56" s="18">
        <v>2</v>
      </c>
      <c r="E56" s="21" t="s">
        <v>360</v>
      </c>
      <c r="F56" s="21"/>
      <c r="G56" s="5" t="s">
        <v>361</v>
      </c>
    </row>
    <row r="57" spans="1:7">
      <c r="A57" s="4" t="s">
        <v>417</v>
      </c>
      <c r="B57" s="12" t="s">
        <v>358</v>
      </c>
      <c r="C57" s="12" t="s">
        <v>359</v>
      </c>
      <c r="D57" s="18">
        <v>3</v>
      </c>
      <c r="E57" s="21" t="s">
        <v>360</v>
      </c>
      <c r="F57" s="21"/>
      <c r="G57" s="5" t="s">
        <v>361</v>
      </c>
    </row>
    <row r="58" spans="1:7">
      <c r="A58" s="4" t="s">
        <v>418</v>
      </c>
      <c r="B58" s="12" t="s">
        <v>358</v>
      </c>
      <c r="C58" s="12" t="s">
        <v>359</v>
      </c>
      <c r="D58" s="18">
        <v>21</v>
      </c>
      <c r="E58" s="21" t="s">
        <v>360</v>
      </c>
      <c r="F58" s="21"/>
      <c r="G58" s="5" t="s">
        <v>361</v>
      </c>
    </row>
    <row r="59" spans="1:7">
      <c r="A59" s="4" t="s">
        <v>419</v>
      </c>
      <c r="B59" s="12" t="s">
        <v>358</v>
      </c>
      <c r="C59" s="12" t="s">
        <v>359</v>
      </c>
      <c r="D59" s="18">
        <v>3</v>
      </c>
      <c r="E59" s="21" t="s">
        <v>360</v>
      </c>
      <c r="F59" s="21"/>
      <c r="G59" s="5" t="s">
        <v>361</v>
      </c>
    </row>
    <row r="60" spans="1:7">
      <c r="A60" s="4" t="s">
        <v>420</v>
      </c>
      <c r="B60" s="12" t="s">
        <v>358</v>
      </c>
      <c r="C60" s="12" t="s">
        <v>359</v>
      </c>
      <c r="D60" s="18">
        <v>0</v>
      </c>
      <c r="E60" s="21" t="s">
        <v>360</v>
      </c>
      <c r="F60" s="21"/>
      <c r="G60" s="5" t="s">
        <v>361</v>
      </c>
    </row>
    <row r="61" spans="1:7">
      <c r="A61" s="4" t="s">
        <v>421</v>
      </c>
      <c r="B61" s="12" t="s">
        <v>358</v>
      </c>
      <c r="C61" s="12" t="s">
        <v>359</v>
      </c>
      <c r="D61" s="18">
        <v>35</v>
      </c>
      <c r="E61" s="21" t="s">
        <v>360</v>
      </c>
      <c r="F61" s="21"/>
      <c r="G61" s="5" t="s">
        <v>361</v>
      </c>
    </row>
    <row r="62" spans="1:7">
      <c r="A62" s="4" t="s">
        <v>422</v>
      </c>
      <c r="B62" s="12" t="s">
        <v>358</v>
      </c>
      <c r="C62" s="12" t="s">
        <v>359</v>
      </c>
      <c r="D62" s="18">
        <v>2</v>
      </c>
      <c r="E62" s="21" t="s">
        <v>360</v>
      </c>
      <c r="F62" s="21"/>
      <c r="G62" s="5" t="s">
        <v>361</v>
      </c>
    </row>
    <row r="63" spans="1:7">
      <c r="A63" s="4" t="s">
        <v>423</v>
      </c>
      <c r="B63" s="12" t="s">
        <v>358</v>
      </c>
      <c r="C63" s="12" t="s">
        <v>359</v>
      </c>
      <c r="D63" s="18">
        <v>0</v>
      </c>
      <c r="E63" s="21" t="s">
        <v>360</v>
      </c>
      <c r="F63" s="21"/>
      <c r="G63" s="5" t="s">
        <v>361</v>
      </c>
    </row>
    <row r="64" spans="1:7">
      <c r="A64" s="4" t="s">
        <v>424</v>
      </c>
      <c r="B64" s="12" t="s">
        <v>358</v>
      </c>
      <c r="C64" s="12" t="s">
        <v>359</v>
      </c>
      <c r="D64" s="18">
        <v>0</v>
      </c>
      <c r="E64" s="21" t="s">
        <v>360</v>
      </c>
      <c r="F64" s="21"/>
      <c r="G64" s="5" t="s">
        <v>361</v>
      </c>
    </row>
    <row r="65" spans="1:7">
      <c r="A65" s="4" t="s">
        <v>425</v>
      </c>
      <c r="B65" s="12" t="s">
        <v>358</v>
      </c>
      <c r="C65" s="12" t="s">
        <v>359</v>
      </c>
      <c r="D65" s="18">
        <v>2</v>
      </c>
      <c r="E65" s="21" t="s">
        <v>360</v>
      </c>
      <c r="F65" s="21"/>
      <c r="G65" s="5" t="s">
        <v>361</v>
      </c>
    </row>
    <row r="66" spans="1:7">
      <c r="A66" s="4" t="s">
        <v>426</v>
      </c>
      <c r="B66" s="12" t="s">
        <v>358</v>
      </c>
      <c r="C66" s="12" t="s">
        <v>359</v>
      </c>
      <c r="D66" s="18">
        <v>0</v>
      </c>
      <c r="E66" s="21" t="s">
        <v>360</v>
      </c>
      <c r="F66" s="21"/>
      <c r="G66" s="5" t="s">
        <v>361</v>
      </c>
    </row>
    <row r="67" spans="1:7">
      <c r="A67" s="4" t="s">
        <v>427</v>
      </c>
      <c r="B67" s="12" t="s">
        <v>358</v>
      </c>
      <c r="C67" s="12" t="s">
        <v>359</v>
      </c>
      <c r="D67" s="18">
        <v>3</v>
      </c>
      <c r="E67" s="21" t="s">
        <v>360</v>
      </c>
      <c r="F67" s="21"/>
      <c r="G67" s="5" t="s">
        <v>361</v>
      </c>
    </row>
    <row r="68" spans="1:7">
      <c r="A68" s="4" t="s">
        <v>428</v>
      </c>
      <c r="B68" s="12" t="s">
        <v>358</v>
      </c>
      <c r="C68" s="12" t="s">
        <v>359</v>
      </c>
      <c r="D68" s="18">
        <v>0</v>
      </c>
      <c r="E68" s="21" t="s">
        <v>360</v>
      </c>
      <c r="F68" s="21"/>
      <c r="G68" s="5" t="s">
        <v>429</v>
      </c>
    </row>
    <row r="69" spans="1:7">
      <c r="A69" s="4" t="s">
        <v>430</v>
      </c>
      <c r="B69" s="12" t="s">
        <v>358</v>
      </c>
      <c r="C69" s="12" t="s">
        <v>359</v>
      </c>
      <c r="D69" s="18">
        <v>7626</v>
      </c>
      <c r="E69" s="21" t="s">
        <v>431</v>
      </c>
      <c r="F69" s="21"/>
      <c r="G69" s="5" t="s">
        <v>429</v>
      </c>
    </row>
    <row r="70" spans="1:7">
      <c r="A70" s="4" t="s">
        <v>432</v>
      </c>
      <c r="B70" s="12" t="s">
        <v>358</v>
      </c>
      <c r="C70" s="12" t="s">
        <v>359</v>
      </c>
      <c r="D70" s="18">
        <v>875</v>
      </c>
      <c r="E70" s="21" t="s">
        <v>360</v>
      </c>
      <c r="F70" s="21"/>
      <c r="G70" s="5" t="s">
        <v>429</v>
      </c>
    </row>
    <row r="71" spans="1:7">
      <c r="A71" s="4" t="s">
        <v>433</v>
      </c>
      <c r="B71" s="12" t="s">
        <v>358</v>
      </c>
      <c r="C71" s="12" t="s">
        <v>359</v>
      </c>
      <c r="D71" s="18">
        <v>9</v>
      </c>
      <c r="E71" s="21" t="s">
        <v>360</v>
      </c>
      <c r="F71" s="21"/>
      <c r="G71" s="5" t="s">
        <v>429</v>
      </c>
    </row>
    <row r="72" spans="1:7">
      <c r="A72" s="4" t="s">
        <v>434</v>
      </c>
      <c r="B72" s="12" t="s">
        <v>358</v>
      </c>
      <c r="C72" s="12" t="s">
        <v>359</v>
      </c>
      <c r="D72" s="18">
        <v>0</v>
      </c>
      <c r="E72" s="21" t="s">
        <v>360</v>
      </c>
      <c r="F72" s="21"/>
      <c r="G72" s="5" t="s">
        <v>429</v>
      </c>
    </row>
    <row r="73" spans="1:7">
      <c r="A73" s="4" t="s">
        <v>435</v>
      </c>
      <c r="B73" s="12" t="s">
        <v>358</v>
      </c>
      <c r="C73" s="12" t="s">
        <v>359</v>
      </c>
      <c r="D73" s="18">
        <v>4</v>
      </c>
      <c r="E73" s="21" t="s">
        <v>360</v>
      </c>
      <c r="F73" s="21"/>
      <c r="G73" s="5" t="s">
        <v>429</v>
      </c>
    </row>
    <row r="74" spans="1:7">
      <c r="A74" s="4" t="s">
        <v>436</v>
      </c>
      <c r="B74" s="12" t="s">
        <v>358</v>
      </c>
      <c r="C74" s="12" t="s">
        <v>359</v>
      </c>
      <c r="D74" s="18">
        <v>1818</v>
      </c>
      <c r="E74" s="21" t="s">
        <v>360</v>
      </c>
      <c r="F74" s="21"/>
      <c r="G74" s="5" t="s">
        <v>429</v>
      </c>
    </row>
    <row r="75" spans="1:7">
      <c r="A75" s="4" t="s">
        <v>437</v>
      </c>
      <c r="B75" s="12" t="s">
        <v>358</v>
      </c>
      <c r="C75" s="12" t="s">
        <v>359</v>
      </c>
      <c r="D75" s="18">
        <v>0</v>
      </c>
      <c r="E75" s="21" t="s">
        <v>360</v>
      </c>
      <c r="F75" s="21"/>
      <c r="G75" s="5" t="s">
        <v>429</v>
      </c>
    </row>
    <row r="76" spans="1:7">
      <c r="A76" s="4" t="s">
        <v>438</v>
      </c>
      <c r="B76" s="12" t="s">
        <v>358</v>
      </c>
      <c r="C76" s="12" t="s">
        <v>359</v>
      </c>
      <c r="D76" s="18">
        <v>0</v>
      </c>
      <c r="E76" s="21" t="s">
        <v>360</v>
      </c>
      <c r="F76" s="21"/>
      <c r="G76" s="5" t="s">
        <v>429</v>
      </c>
    </row>
    <row r="77" spans="1:7">
      <c r="A77" s="4" t="s">
        <v>439</v>
      </c>
      <c r="B77" s="12" t="s">
        <v>358</v>
      </c>
      <c r="C77" s="12" t="s">
        <v>359</v>
      </c>
      <c r="D77" s="18">
        <v>0</v>
      </c>
      <c r="E77" s="21" t="s">
        <v>360</v>
      </c>
      <c r="F77" s="21"/>
      <c r="G77" s="5" t="s">
        <v>429</v>
      </c>
    </row>
    <row r="78" spans="1:7">
      <c r="A78" s="4" t="s">
        <v>440</v>
      </c>
      <c r="B78" s="12" t="s">
        <v>358</v>
      </c>
      <c r="C78" s="12" t="s">
        <v>359</v>
      </c>
      <c r="D78" s="18">
        <v>1130</v>
      </c>
      <c r="E78" s="21" t="s">
        <v>360</v>
      </c>
      <c r="F78" s="21"/>
      <c r="G78" s="5" t="s">
        <v>429</v>
      </c>
    </row>
    <row r="79" spans="1:7">
      <c r="A79" s="4" t="s">
        <v>441</v>
      </c>
      <c r="B79" s="12" t="s">
        <v>358</v>
      </c>
      <c r="C79" s="12" t="s">
        <v>359</v>
      </c>
      <c r="D79" s="18">
        <v>34</v>
      </c>
      <c r="E79" s="21" t="s">
        <v>360</v>
      </c>
      <c r="F79" s="21"/>
      <c r="G79" s="5" t="s">
        <v>429</v>
      </c>
    </row>
    <row r="80" spans="1:7">
      <c r="A80" s="4" t="s">
        <v>442</v>
      </c>
      <c r="B80" s="12" t="s">
        <v>358</v>
      </c>
      <c r="C80" s="12" t="s">
        <v>359</v>
      </c>
      <c r="D80" s="18">
        <v>0</v>
      </c>
      <c r="E80" s="21" t="s">
        <v>360</v>
      </c>
      <c r="F80" s="21"/>
      <c r="G80" s="5" t="s">
        <v>429</v>
      </c>
    </row>
    <row r="81" spans="1:7">
      <c r="A81" s="4" t="s">
        <v>443</v>
      </c>
      <c r="B81" s="12" t="s">
        <v>358</v>
      </c>
      <c r="C81" s="12" t="s">
        <v>359</v>
      </c>
      <c r="D81" s="18">
        <v>0</v>
      </c>
      <c r="E81" s="21" t="s">
        <v>360</v>
      </c>
      <c r="F81" s="21"/>
      <c r="G81" s="5" t="s">
        <v>429</v>
      </c>
    </row>
    <row r="82" spans="1:7">
      <c r="A82" s="4" t="s">
        <v>444</v>
      </c>
      <c r="B82" s="12" t="s">
        <v>358</v>
      </c>
      <c r="C82" s="12" t="s">
        <v>359</v>
      </c>
      <c r="D82" s="18">
        <v>0</v>
      </c>
      <c r="E82" s="21" t="s">
        <v>360</v>
      </c>
      <c r="F82" s="21"/>
      <c r="G82" s="5" t="s">
        <v>429</v>
      </c>
    </row>
    <row r="83" spans="1:7">
      <c r="A83" s="4" t="s">
        <v>445</v>
      </c>
      <c r="B83" s="12" t="s">
        <v>358</v>
      </c>
      <c r="C83" s="12" t="s">
        <v>359</v>
      </c>
      <c r="D83" s="18">
        <v>0</v>
      </c>
      <c r="E83" s="21" t="s">
        <v>360</v>
      </c>
      <c r="F83" s="21"/>
      <c r="G83" s="5" t="s">
        <v>429</v>
      </c>
    </row>
    <row r="84" spans="1:7">
      <c r="A84" s="4" t="s">
        <v>446</v>
      </c>
      <c r="B84" s="12" t="s">
        <v>358</v>
      </c>
      <c r="C84" s="12" t="s">
        <v>359</v>
      </c>
      <c r="D84" s="18">
        <v>0</v>
      </c>
      <c r="E84" s="21" t="s">
        <v>360</v>
      </c>
      <c r="F84" s="21"/>
      <c r="G84" s="5" t="s">
        <v>429</v>
      </c>
    </row>
    <row r="85" spans="1:7">
      <c r="A85" s="4" t="s">
        <v>447</v>
      </c>
      <c r="B85" s="12" t="s">
        <v>358</v>
      </c>
      <c r="C85" s="12" t="s">
        <v>359</v>
      </c>
      <c r="D85" s="18">
        <v>3529</v>
      </c>
      <c r="E85" s="21" t="s">
        <v>360</v>
      </c>
      <c r="F85" s="21"/>
      <c r="G85" s="5" t="s">
        <v>429</v>
      </c>
    </row>
    <row r="86" spans="1:7">
      <c r="A86" s="4" t="s">
        <v>448</v>
      </c>
      <c r="B86" s="12" t="s">
        <v>358</v>
      </c>
      <c r="C86" s="12" t="s">
        <v>359</v>
      </c>
      <c r="D86" s="18">
        <v>2</v>
      </c>
      <c r="E86" s="21" t="s">
        <v>360</v>
      </c>
      <c r="F86" s="21"/>
      <c r="G86" s="5" t="s">
        <v>429</v>
      </c>
    </row>
    <row r="87" spans="1:7">
      <c r="A87" s="4" t="s">
        <v>449</v>
      </c>
      <c r="B87" s="12" t="s">
        <v>358</v>
      </c>
      <c r="C87" s="12" t="s">
        <v>359</v>
      </c>
      <c r="D87" s="18">
        <v>34</v>
      </c>
      <c r="E87" s="21" t="s">
        <v>360</v>
      </c>
      <c r="F87" s="21"/>
      <c r="G87" s="5" t="s">
        <v>429</v>
      </c>
    </row>
    <row r="88" spans="1:7">
      <c r="A88" s="4" t="s">
        <v>450</v>
      </c>
      <c r="B88" s="12" t="s">
        <v>358</v>
      </c>
      <c r="C88" s="12" t="s">
        <v>359</v>
      </c>
      <c r="D88" s="18">
        <v>0</v>
      </c>
      <c r="E88" s="21" t="s">
        <v>360</v>
      </c>
      <c r="F88" s="21"/>
      <c r="G88" s="5" t="s">
        <v>429</v>
      </c>
    </row>
    <row r="89" spans="1:7">
      <c r="A89" s="4" t="s">
        <v>451</v>
      </c>
      <c r="B89" s="12" t="s">
        <v>358</v>
      </c>
      <c r="C89" s="12" t="s">
        <v>359</v>
      </c>
      <c r="D89" s="18">
        <v>8</v>
      </c>
      <c r="E89" s="21" t="s">
        <v>360</v>
      </c>
      <c r="F89" s="21"/>
      <c r="G89" s="5" t="s">
        <v>429</v>
      </c>
    </row>
    <row r="90" spans="1:7">
      <c r="A90" s="4" t="s">
        <v>452</v>
      </c>
      <c r="B90" s="12" t="s">
        <v>358</v>
      </c>
      <c r="C90" s="12" t="s">
        <v>359</v>
      </c>
      <c r="D90" s="18">
        <v>0</v>
      </c>
      <c r="E90" s="21" t="s">
        <v>360</v>
      </c>
      <c r="F90" s="21"/>
      <c r="G90" s="5" t="s">
        <v>429</v>
      </c>
    </row>
    <row r="91" spans="1:7">
      <c r="A91" s="4" t="s">
        <v>453</v>
      </c>
      <c r="B91" s="12" t="s">
        <v>358</v>
      </c>
      <c r="C91" s="12" t="s">
        <v>359</v>
      </c>
      <c r="D91" s="18">
        <v>0</v>
      </c>
      <c r="E91" s="21" t="s">
        <v>360</v>
      </c>
      <c r="F91" s="21"/>
      <c r="G91" s="5" t="s">
        <v>429</v>
      </c>
    </row>
    <row r="92" spans="1:7">
      <c r="A92" s="4" t="s">
        <v>454</v>
      </c>
      <c r="B92" s="12" t="s">
        <v>358</v>
      </c>
      <c r="C92" s="12" t="s">
        <v>359</v>
      </c>
      <c r="D92" s="18">
        <v>2</v>
      </c>
      <c r="E92" s="21" t="s">
        <v>455</v>
      </c>
      <c r="F92" s="21"/>
      <c r="G92" s="5" t="s">
        <v>429</v>
      </c>
    </row>
    <row r="93" spans="1:7">
      <c r="A93" s="4" t="s">
        <v>222</v>
      </c>
      <c r="B93" s="12" t="s">
        <v>358</v>
      </c>
      <c r="C93" s="12" t="s">
        <v>359</v>
      </c>
      <c r="D93" s="18">
        <v>1135</v>
      </c>
      <c r="E93" s="21" t="s">
        <v>360</v>
      </c>
      <c r="F93" s="21"/>
      <c r="G93" s="5" t="s">
        <v>429</v>
      </c>
    </row>
    <row r="94" spans="1:7">
      <c r="A94" s="4" t="s">
        <v>456</v>
      </c>
      <c r="B94" s="12" t="s">
        <v>358</v>
      </c>
      <c r="C94" s="12" t="s">
        <v>359</v>
      </c>
      <c r="D94" s="18">
        <v>0</v>
      </c>
      <c r="E94" s="21" t="s">
        <v>360</v>
      </c>
      <c r="F94" s="21"/>
      <c r="G94" s="5" t="s">
        <v>429</v>
      </c>
    </row>
    <row r="95" spans="1:7">
      <c r="A95" s="4" t="s">
        <v>457</v>
      </c>
      <c r="B95" s="12" t="s">
        <v>358</v>
      </c>
      <c r="C95" s="12" t="s">
        <v>359</v>
      </c>
      <c r="D95" s="18">
        <v>13</v>
      </c>
      <c r="E95" s="21" t="s">
        <v>360</v>
      </c>
      <c r="F95" s="21"/>
      <c r="G95" s="5" t="s">
        <v>429</v>
      </c>
    </row>
    <row r="96" spans="1:7">
      <c r="A96" s="4" t="s">
        <v>226</v>
      </c>
      <c r="B96" s="12" t="s">
        <v>358</v>
      </c>
      <c r="C96" s="12" t="s">
        <v>359</v>
      </c>
      <c r="D96" s="18">
        <v>3468</v>
      </c>
      <c r="E96" s="21" t="s">
        <v>360</v>
      </c>
      <c r="F96" s="21"/>
      <c r="G96" s="5" t="s">
        <v>429</v>
      </c>
    </row>
    <row r="97" spans="1:7">
      <c r="A97" s="4" t="s">
        <v>458</v>
      </c>
      <c r="B97" s="12" t="s">
        <v>358</v>
      </c>
      <c r="C97" s="12" t="s">
        <v>359</v>
      </c>
      <c r="D97" s="18">
        <v>23</v>
      </c>
      <c r="E97" s="21" t="s">
        <v>360</v>
      </c>
      <c r="F97" s="21"/>
      <c r="G97" s="5" t="s">
        <v>429</v>
      </c>
    </row>
    <row r="98" spans="1:7">
      <c r="A98" s="4" t="s">
        <v>459</v>
      </c>
      <c r="B98" s="12" t="s">
        <v>358</v>
      </c>
      <c r="C98" s="12" t="s">
        <v>359</v>
      </c>
      <c r="D98" s="18">
        <v>0</v>
      </c>
      <c r="E98" s="21" t="s">
        <v>360</v>
      </c>
      <c r="F98" s="21"/>
      <c r="G98" s="5" t="s">
        <v>429</v>
      </c>
    </row>
    <row r="99" spans="1:7">
      <c r="A99" s="4" t="s">
        <v>460</v>
      </c>
      <c r="B99" s="12" t="s">
        <v>358</v>
      </c>
      <c r="C99" s="12" t="s">
        <v>359</v>
      </c>
      <c r="D99" s="18">
        <v>4</v>
      </c>
      <c r="E99" s="21" t="s">
        <v>360</v>
      </c>
      <c r="F99" s="21"/>
      <c r="G99" s="5" t="s">
        <v>429</v>
      </c>
    </row>
    <row r="100" spans="1:7">
      <c r="A100" s="4" t="s">
        <v>461</v>
      </c>
      <c r="B100" s="12" t="s">
        <v>358</v>
      </c>
      <c r="C100" s="12" t="s">
        <v>359</v>
      </c>
      <c r="D100" s="18">
        <v>2</v>
      </c>
      <c r="E100" s="21" t="s">
        <v>360</v>
      </c>
      <c r="F100" s="21"/>
      <c r="G100" s="5" t="s">
        <v>429</v>
      </c>
    </row>
    <row r="101" spans="1:7">
      <c r="A101" s="4" t="s">
        <v>462</v>
      </c>
      <c r="B101" s="12" t="s">
        <v>358</v>
      </c>
      <c r="C101" s="12" t="s">
        <v>359</v>
      </c>
      <c r="D101" s="18">
        <v>307</v>
      </c>
      <c r="E101" s="21" t="s">
        <v>360</v>
      </c>
      <c r="F101" s="21"/>
      <c r="G101" s="5" t="s">
        <v>429</v>
      </c>
    </row>
    <row r="102" spans="1:7">
      <c r="A102" s="4" t="s">
        <v>463</v>
      </c>
      <c r="B102" s="12" t="s">
        <v>358</v>
      </c>
      <c r="C102" s="12" t="s">
        <v>359</v>
      </c>
      <c r="D102" s="18">
        <v>0</v>
      </c>
      <c r="E102" s="21" t="s">
        <v>360</v>
      </c>
      <c r="F102" s="21"/>
      <c r="G102" s="5" t="s">
        <v>429</v>
      </c>
    </row>
    <row r="103" spans="1:7">
      <c r="A103" s="4" t="s">
        <v>464</v>
      </c>
      <c r="B103" s="12" t="s">
        <v>358</v>
      </c>
      <c r="C103" s="12" t="s">
        <v>359</v>
      </c>
      <c r="D103" s="18">
        <v>4</v>
      </c>
      <c r="E103" s="21" t="s">
        <v>360</v>
      </c>
      <c r="F103" s="21"/>
      <c r="G103" s="5" t="s">
        <v>429</v>
      </c>
    </row>
    <row r="104" spans="1:7">
      <c r="A104" s="4" t="s">
        <v>465</v>
      </c>
      <c r="B104" s="12" t="s">
        <v>358</v>
      </c>
      <c r="C104" s="12" t="s">
        <v>359</v>
      </c>
      <c r="D104" s="18">
        <v>0</v>
      </c>
      <c r="E104" s="21" t="s">
        <v>360</v>
      </c>
      <c r="F104" s="21"/>
      <c r="G104" s="5" t="s">
        <v>429</v>
      </c>
    </row>
    <row r="105" spans="1:7">
      <c r="A105" s="4" t="s">
        <v>466</v>
      </c>
      <c r="B105" s="12" t="s">
        <v>358</v>
      </c>
      <c r="C105" s="12" t="s">
        <v>359</v>
      </c>
      <c r="D105" s="18">
        <v>2</v>
      </c>
      <c r="E105" s="21" t="s">
        <v>360</v>
      </c>
      <c r="F105" s="21"/>
      <c r="G105" s="5" t="s">
        <v>429</v>
      </c>
    </row>
    <row r="106" spans="1:7">
      <c r="A106" s="4" t="s">
        <v>467</v>
      </c>
      <c r="B106" s="12" t="s">
        <v>358</v>
      </c>
      <c r="C106" s="12" t="s">
        <v>359</v>
      </c>
      <c r="D106" s="18">
        <v>2</v>
      </c>
      <c r="E106" s="21" t="s">
        <v>360</v>
      </c>
      <c r="F106" s="21"/>
      <c r="G106" s="5" t="s">
        <v>429</v>
      </c>
    </row>
    <row r="107" spans="1:7">
      <c r="A107" s="4" t="s">
        <v>468</v>
      </c>
      <c r="B107" s="12" t="s">
        <v>358</v>
      </c>
      <c r="C107" s="12" t="s">
        <v>359</v>
      </c>
      <c r="D107" s="18">
        <v>13</v>
      </c>
      <c r="E107" s="21" t="s">
        <v>360</v>
      </c>
      <c r="F107" s="21"/>
      <c r="G107" s="5" t="s">
        <v>429</v>
      </c>
    </row>
    <row r="108" spans="1:7">
      <c r="A108" s="4" t="s">
        <v>469</v>
      </c>
      <c r="B108" s="12" t="s">
        <v>358</v>
      </c>
      <c r="C108" s="12" t="s">
        <v>359</v>
      </c>
      <c r="D108" s="18">
        <v>0</v>
      </c>
      <c r="E108" s="21" t="s">
        <v>360</v>
      </c>
      <c r="F108" s="21"/>
      <c r="G108" s="5" t="s">
        <v>429</v>
      </c>
    </row>
    <row r="109" spans="1:7">
      <c r="A109" s="4" t="s">
        <v>470</v>
      </c>
      <c r="B109" s="12" t="s">
        <v>358</v>
      </c>
      <c r="C109" s="12" t="s">
        <v>359</v>
      </c>
      <c r="D109" s="18">
        <v>0</v>
      </c>
      <c r="E109" s="21" t="s">
        <v>360</v>
      </c>
      <c r="F109" s="21"/>
      <c r="G109" s="5" t="s">
        <v>429</v>
      </c>
    </row>
    <row r="110" spans="1:7">
      <c r="A110" s="4" t="s">
        <v>471</v>
      </c>
      <c r="B110" s="12" t="s">
        <v>358</v>
      </c>
      <c r="C110" s="12" t="s">
        <v>359</v>
      </c>
      <c r="D110" s="18">
        <v>0</v>
      </c>
      <c r="E110" s="21" t="s">
        <v>360</v>
      </c>
      <c r="F110" s="21"/>
      <c r="G110" s="5" t="s">
        <v>429</v>
      </c>
    </row>
    <row r="111" spans="1:7">
      <c r="A111" s="4" t="s">
        <v>472</v>
      </c>
      <c r="B111" s="12" t="s">
        <v>358</v>
      </c>
      <c r="C111" s="12" t="s">
        <v>359</v>
      </c>
      <c r="D111" s="18">
        <v>32</v>
      </c>
      <c r="E111" s="21" t="s">
        <v>360</v>
      </c>
      <c r="F111" s="21"/>
      <c r="G111" s="5" t="s">
        <v>429</v>
      </c>
    </row>
    <row r="112" spans="1:7">
      <c r="A112" s="4" t="s">
        <v>473</v>
      </c>
      <c r="B112" s="12" t="s">
        <v>358</v>
      </c>
      <c r="C112" s="12" t="s">
        <v>359</v>
      </c>
      <c r="D112" s="18">
        <v>0</v>
      </c>
      <c r="E112" s="21" t="s">
        <v>360</v>
      </c>
      <c r="F112" s="21"/>
      <c r="G112" s="5" t="s">
        <v>361</v>
      </c>
    </row>
    <row r="113" spans="1:7">
      <c r="A113" s="4" t="s">
        <v>474</v>
      </c>
      <c r="B113" s="12" t="s">
        <v>358</v>
      </c>
      <c r="C113" s="12" t="s">
        <v>359</v>
      </c>
      <c r="D113" s="18">
        <v>0</v>
      </c>
      <c r="E113" s="21" t="s">
        <v>360</v>
      </c>
      <c r="F113" s="21"/>
      <c r="G113" s="5" t="s">
        <v>361</v>
      </c>
    </row>
    <row r="114" spans="1:7">
      <c r="A114" s="4" t="s">
        <v>475</v>
      </c>
      <c r="B114" s="12" t="s">
        <v>358</v>
      </c>
      <c r="C114" s="12" t="s">
        <v>359</v>
      </c>
      <c r="D114" s="18">
        <v>0</v>
      </c>
      <c r="E114" s="21" t="s">
        <v>360</v>
      </c>
      <c r="F114" s="21"/>
      <c r="G114" s="5" t="s">
        <v>361</v>
      </c>
    </row>
    <row r="115" spans="1:7">
      <c r="A115" s="4" t="s">
        <v>476</v>
      </c>
      <c r="B115" s="12" t="s">
        <v>358</v>
      </c>
      <c r="C115" s="12" t="s">
        <v>359</v>
      </c>
      <c r="D115" s="18">
        <v>0</v>
      </c>
      <c r="E115" s="21" t="s">
        <v>360</v>
      </c>
      <c r="F115" s="21"/>
      <c r="G115" s="5" t="s">
        <v>361</v>
      </c>
    </row>
    <row r="116" spans="1:7">
      <c r="A116" s="4" t="s">
        <v>477</v>
      </c>
      <c r="B116" s="12" t="s">
        <v>358</v>
      </c>
      <c r="C116" s="12" t="s">
        <v>359</v>
      </c>
      <c r="D116" s="18">
        <v>0</v>
      </c>
      <c r="E116" s="21" t="s">
        <v>478</v>
      </c>
      <c r="F116" s="21"/>
      <c r="G116" s="5" t="s">
        <v>479</v>
      </c>
    </row>
    <row r="117" spans="1:7">
      <c r="A117" s="4" t="s">
        <v>480</v>
      </c>
      <c r="B117" s="12" t="s">
        <v>358</v>
      </c>
      <c r="C117" s="12" t="s">
        <v>359</v>
      </c>
      <c r="D117" s="18">
        <v>0</v>
      </c>
      <c r="E117" s="21" t="s">
        <v>478</v>
      </c>
      <c r="F117" s="21"/>
      <c r="G117" s="5" t="s">
        <v>479</v>
      </c>
    </row>
    <row r="118" spans="1:7">
      <c r="A118" s="4" t="s">
        <v>481</v>
      </c>
      <c r="B118" s="12" t="s">
        <v>358</v>
      </c>
      <c r="C118" s="12" t="s">
        <v>359</v>
      </c>
      <c r="D118" s="18">
        <v>0</v>
      </c>
      <c r="E118" s="21" t="s">
        <v>478</v>
      </c>
      <c r="F118" s="21"/>
      <c r="G118" s="5" t="s">
        <v>479</v>
      </c>
    </row>
    <row r="119" spans="1:7">
      <c r="A119" s="4" t="s">
        <v>482</v>
      </c>
      <c r="B119" s="12" t="s">
        <v>358</v>
      </c>
      <c r="C119" s="12" t="s">
        <v>359</v>
      </c>
      <c r="D119" s="18">
        <v>0</v>
      </c>
      <c r="E119" s="21" t="s">
        <v>478</v>
      </c>
      <c r="F119" s="21"/>
      <c r="G119" s="5" t="s">
        <v>479</v>
      </c>
    </row>
    <row r="120" spans="1:7">
      <c r="A120" s="4" t="s">
        <v>483</v>
      </c>
      <c r="B120" s="12" t="s">
        <v>358</v>
      </c>
      <c r="C120" s="12" t="s">
        <v>359</v>
      </c>
      <c r="D120" s="18">
        <v>0</v>
      </c>
      <c r="E120" s="21" t="s">
        <v>484</v>
      </c>
      <c r="F120" s="21"/>
      <c r="G120" s="5" t="s">
        <v>479</v>
      </c>
    </row>
    <row r="121" spans="1:7">
      <c r="A121" s="4" t="s">
        <v>485</v>
      </c>
      <c r="B121" s="12" t="s">
        <v>358</v>
      </c>
      <c r="C121" s="12" t="s">
        <v>359</v>
      </c>
      <c r="D121" s="18">
        <v>13</v>
      </c>
      <c r="E121" s="21" t="s">
        <v>360</v>
      </c>
      <c r="F121" s="21"/>
      <c r="G121" s="5" t="s">
        <v>361</v>
      </c>
    </row>
    <row r="122" spans="1:7">
      <c r="A122" s="4" t="s">
        <v>486</v>
      </c>
      <c r="B122" s="12" t="s">
        <v>358</v>
      </c>
      <c r="C122" s="12" t="s">
        <v>359</v>
      </c>
      <c r="D122" s="18">
        <v>176</v>
      </c>
      <c r="E122" s="21" t="s">
        <v>360</v>
      </c>
      <c r="F122" s="21"/>
      <c r="G122" s="5" t="s">
        <v>361</v>
      </c>
    </row>
    <row r="123" spans="1:7">
      <c r="A123" s="4" t="s">
        <v>487</v>
      </c>
      <c r="B123" s="12" t="s">
        <v>358</v>
      </c>
      <c r="C123" s="12" t="s">
        <v>359</v>
      </c>
      <c r="D123" s="18">
        <v>867</v>
      </c>
      <c r="E123" s="21" t="s">
        <v>360</v>
      </c>
      <c r="F123" s="21"/>
      <c r="G123" s="5" t="s">
        <v>361</v>
      </c>
    </row>
    <row r="124" spans="1:7">
      <c r="A124" s="4" t="s">
        <v>488</v>
      </c>
      <c r="B124" s="12" t="s">
        <v>358</v>
      </c>
      <c r="C124" s="12" t="s">
        <v>359</v>
      </c>
      <c r="D124" s="18">
        <v>492</v>
      </c>
      <c r="E124" s="21" t="s">
        <v>360</v>
      </c>
      <c r="F124" s="21"/>
      <c r="G124" s="5" t="s">
        <v>361</v>
      </c>
    </row>
    <row r="125" spans="1:7">
      <c r="A125" s="4" t="s">
        <v>489</v>
      </c>
      <c r="B125" s="12" t="s">
        <v>358</v>
      </c>
      <c r="C125" s="12" t="s">
        <v>359</v>
      </c>
      <c r="D125" s="18">
        <v>49</v>
      </c>
      <c r="E125" s="21" t="s">
        <v>360</v>
      </c>
      <c r="F125" s="21"/>
      <c r="G125" s="5" t="s">
        <v>361</v>
      </c>
    </row>
    <row r="126" spans="1:7">
      <c r="A126" s="4" t="s">
        <v>490</v>
      </c>
      <c r="B126" s="12" t="s">
        <v>358</v>
      </c>
      <c r="C126" s="12" t="s">
        <v>359</v>
      </c>
      <c r="D126" s="18">
        <v>84</v>
      </c>
      <c r="E126" s="21" t="s">
        <v>360</v>
      </c>
      <c r="F126" s="21"/>
      <c r="G126" s="5" t="s">
        <v>361</v>
      </c>
    </row>
    <row r="127" spans="1:7">
      <c r="A127" s="4" t="s">
        <v>491</v>
      </c>
      <c r="B127" s="12" t="s">
        <v>358</v>
      </c>
      <c r="C127" s="12" t="s">
        <v>359</v>
      </c>
      <c r="D127" s="18">
        <v>106</v>
      </c>
      <c r="E127" s="21" t="s">
        <v>360</v>
      </c>
      <c r="F127" s="21"/>
      <c r="G127" s="5" t="s">
        <v>492</v>
      </c>
    </row>
    <row r="128" spans="1:7">
      <c r="A128" s="4" t="s">
        <v>493</v>
      </c>
      <c r="B128" s="12" t="s">
        <v>358</v>
      </c>
      <c r="C128" s="12" t="s">
        <v>359</v>
      </c>
      <c r="D128" s="18">
        <v>31</v>
      </c>
      <c r="E128" s="21" t="s">
        <v>360</v>
      </c>
      <c r="F128" s="21"/>
      <c r="G128" s="5" t="s">
        <v>492</v>
      </c>
    </row>
    <row r="129" spans="1:7">
      <c r="A129" s="4" t="s">
        <v>494</v>
      </c>
      <c r="B129" s="12" t="s">
        <v>358</v>
      </c>
      <c r="C129" s="12" t="s">
        <v>359</v>
      </c>
      <c r="D129" s="18">
        <v>23</v>
      </c>
      <c r="E129" s="21" t="s">
        <v>360</v>
      </c>
      <c r="F129" s="21"/>
      <c r="G129" s="5" t="s">
        <v>492</v>
      </c>
    </row>
    <row r="130" spans="1:7">
      <c r="A130" s="4" t="s">
        <v>495</v>
      </c>
      <c r="B130" s="12" t="s">
        <v>358</v>
      </c>
      <c r="C130" s="12" t="s">
        <v>359</v>
      </c>
      <c r="D130" s="18">
        <v>19</v>
      </c>
      <c r="E130" s="21" t="s">
        <v>360</v>
      </c>
      <c r="F130" s="21"/>
      <c r="G130" s="5" t="s">
        <v>492</v>
      </c>
    </row>
    <row r="131" spans="1:7">
      <c r="A131" s="4" t="s">
        <v>496</v>
      </c>
      <c r="B131" s="12" t="s">
        <v>358</v>
      </c>
      <c r="C131" s="12" t="s">
        <v>359</v>
      </c>
      <c r="D131" s="18">
        <v>37</v>
      </c>
      <c r="E131" s="21" t="s">
        <v>360</v>
      </c>
      <c r="F131" s="21"/>
      <c r="G131" s="5" t="s">
        <v>492</v>
      </c>
    </row>
    <row r="132" spans="1:7">
      <c r="A132" s="4" t="s">
        <v>497</v>
      </c>
      <c r="B132" s="12" t="s">
        <v>358</v>
      </c>
      <c r="C132" s="12" t="s">
        <v>359</v>
      </c>
      <c r="D132" s="18">
        <v>0</v>
      </c>
      <c r="E132" s="21" t="s">
        <v>360</v>
      </c>
      <c r="F132" s="21"/>
      <c r="G132" s="5" t="s">
        <v>492</v>
      </c>
    </row>
    <row r="133" spans="1:7">
      <c r="A133" s="4" t="s">
        <v>498</v>
      </c>
      <c r="B133" s="12" t="s">
        <v>358</v>
      </c>
      <c r="C133" s="12" t="s">
        <v>359</v>
      </c>
      <c r="D133" s="18">
        <v>0</v>
      </c>
      <c r="E133" s="21" t="s">
        <v>360</v>
      </c>
      <c r="F133" s="21"/>
      <c r="G133" s="5" t="s">
        <v>492</v>
      </c>
    </row>
    <row r="134" spans="1:7">
      <c r="A134" s="4" t="s">
        <v>499</v>
      </c>
      <c r="B134" s="12" t="s">
        <v>358</v>
      </c>
      <c r="C134" s="12" t="s">
        <v>359</v>
      </c>
      <c r="D134" s="18">
        <v>10</v>
      </c>
      <c r="E134" s="21" t="s">
        <v>360</v>
      </c>
      <c r="F134" s="21"/>
      <c r="G134" s="5" t="s">
        <v>361</v>
      </c>
    </row>
    <row r="135" spans="1:7">
      <c r="A135" s="4" t="s">
        <v>500</v>
      </c>
      <c r="B135" s="12" t="s">
        <v>358</v>
      </c>
      <c r="C135" s="12" t="s">
        <v>359</v>
      </c>
      <c r="D135" s="18">
        <v>0</v>
      </c>
      <c r="E135" s="21" t="s">
        <v>360</v>
      </c>
      <c r="F135" s="21"/>
      <c r="G135" s="5" t="s">
        <v>361</v>
      </c>
    </row>
    <row r="136" spans="1:7">
      <c r="A136" s="4" t="s">
        <v>501</v>
      </c>
      <c r="B136" s="12" t="s">
        <v>358</v>
      </c>
      <c r="C136" s="12" t="s">
        <v>359</v>
      </c>
      <c r="D136" s="18">
        <v>146</v>
      </c>
      <c r="E136" s="21" t="s">
        <v>360</v>
      </c>
      <c r="F136" s="21"/>
      <c r="G136" s="5" t="s">
        <v>361</v>
      </c>
    </row>
    <row r="137" spans="1:7">
      <c r="A137" s="4" t="s">
        <v>502</v>
      </c>
      <c r="B137" s="12" t="s">
        <v>358</v>
      </c>
      <c r="C137" s="12" t="s">
        <v>359</v>
      </c>
      <c r="D137" s="18">
        <v>146</v>
      </c>
      <c r="E137" s="21" t="s">
        <v>503</v>
      </c>
      <c r="F137" s="21"/>
      <c r="G137" s="5" t="s">
        <v>361</v>
      </c>
    </row>
    <row r="138" spans="1:7">
      <c r="A138" s="4" t="s">
        <v>504</v>
      </c>
      <c r="B138" s="12" t="s">
        <v>358</v>
      </c>
      <c r="C138" s="12" t="s">
        <v>359</v>
      </c>
      <c r="D138" s="18">
        <v>5742</v>
      </c>
      <c r="E138" s="21" t="s">
        <v>360</v>
      </c>
      <c r="F138" s="21"/>
      <c r="G138" s="5" t="s">
        <v>361</v>
      </c>
    </row>
    <row r="139" spans="1:7">
      <c r="A139" s="4" t="s">
        <v>505</v>
      </c>
      <c r="B139" s="12" t="s">
        <v>358</v>
      </c>
      <c r="C139" s="12" t="s">
        <v>359</v>
      </c>
      <c r="D139" s="18">
        <v>143</v>
      </c>
      <c r="E139" s="21" t="s">
        <v>360</v>
      </c>
      <c r="F139" s="21"/>
      <c r="G139" s="5" t="s">
        <v>361</v>
      </c>
    </row>
    <row r="140" spans="1:7">
      <c r="A140" s="4" t="s">
        <v>506</v>
      </c>
      <c r="B140" s="12" t="s">
        <v>358</v>
      </c>
      <c r="C140" s="12" t="s">
        <v>359</v>
      </c>
      <c r="D140" s="18">
        <v>5</v>
      </c>
      <c r="E140" s="21" t="s">
        <v>360</v>
      </c>
      <c r="F140" s="21"/>
      <c r="G140" s="5" t="s">
        <v>361</v>
      </c>
    </row>
    <row r="141" spans="1:7">
      <c r="A141" s="4" t="s">
        <v>507</v>
      </c>
      <c r="B141" s="12" t="s">
        <v>358</v>
      </c>
      <c r="C141" s="12" t="s">
        <v>359</v>
      </c>
      <c r="D141" s="18">
        <v>4</v>
      </c>
      <c r="E141" s="21" t="s">
        <v>360</v>
      </c>
      <c r="F141" s="21"/>
      <c r="G141" s="5" t="s">
        <v>361</v>
      </c>
    </row>
    <row r="142" spans="1:7">
      <c r="A142" s="4" t="s">
        <v>305</v>
      </c>
      <c r="B142" s="12" t="s">
        <v>358</v>
      </c>
      <c r="C142" s="12" t="s">
        <v>359</v>
      </c>
      <c r="D142" s="18">
        <v>991</v>
      </c>
      <c r="E142" s="21" t="s">
        <v>360</v>
      </c>
      <c r="F142" s="21"/>
      <c r="G142" s="5" t="s">
        <v>361</v>
      </c>
    </row>
    <row r="143" spans="1:7">
      <c r="A143" s="4" t="s">
        <v>508</v>
      </c>
      <c r="B143" s="12" t="s">
        <v>358</v>
      </c>
      <c r="C143" s="12" t="s">
        <v>359</v>
      </c>
      <c r="D143" s="18">
        <v>23952</v>
      </c>
      <c r="E143" s="21" t="s">
        <v>360</v>
      </c>
      <c r="F143" s="21"/>
      <c r="G143" s="5" t="s">
        <v>361</v>
      </c>
    </row>
    <row r="144" spans="1:7">
      <c r="A144" s="4" t="s">
        <v>509</v>
      </c>
      <c r="B144" s="12" t="s">
        <v>358</v>
      </c>
      <c r="C144" s="12" t="s">
        <v>359</v>
      </c>
      <c r="D144" s="18">
        <v>5</v>
      </c>
      <c r="E144" s="21" t="s">
        <v>360</v>
      </c>
      <c r="F144" s="21"/>
      <c r="G144" s="5" t="s">
        <v>361</v>
      </c>
    </row>
    <row r="145" spans="1:7">
      <c r="A145" s="4" t="s">
        <v>510</v>
      </c>
      <c r="B145" s="12" t="s">
        <v>358</v>
      </c>
      <c r="C145" s="12" t="s">
        <v>359</v>
      </c>
      <c r="D145" s="18">
        <v>25</v>
      </c>
      <c r="E145" s="21" t="s">
        <v>360</v>
      </c>
      <c r="F145" s="21"/>
      <c r="G145" s="5" t="s">
        <v>361</v>
      </c>
    </row>
    <row r="146" spans="1:7">
      <c r="A146" s="4" t="s">
        <v>511</v>
      </c>
      <c r="B146" s="12" t="s">
        <v>358</v>
      </c>
      <c r="C146" s="12" t="s">
        <v>359</v>
      </c>
      <c r="D146" s="18">
        <v>58</v>
      </c>
      <c r="E146" s="21" t="s">
        <v>360</v>
      </c>
      <c r="F146" s="21"/>
      <c r="G146" s="5" t="s">
        <v>361</v>
      </c>
    </row>
    <row r="147" spans="1:7">
      <c r="A147" s="4" t="s">
        <v>210</v>
      </c>
      <c r="B147" s="12" t="s">
        <v>358</v>
      </c>
      <c r="C147" s="12" t="s">
        <v>359</v>
      </c>
      <c r="D147" s="18">
        <v>7961</v>
      </c>
      <c r="E147" s="21" t="s">
        <v>360</v>
      </c>
      <c r="F147" s="21"/>
      <c r="G147" s="5" t="s">
        <v>361</v>
      </c>
    </row>
    <row r="148" spans="1:7">
      <c r="A148" s="4" t="s">
        <v>512</v>
      </c>
      <c r="B148" s="12" t="s">
        <v>358</v>
      </c>
      <c r="C148" s="12" t="s">
        <v>359</v>
      </c>
      <c r="D148" s="18">
        <v>99</v>
      </c>
      <c r="E148" s="21" t="s">
        <v>360</v>
      </c>
      <c r="F148" s="21"/>
      <c r="G148" s="5" t="s">
        <v>361</v>
      </c>
    </row>
    <row r="149" spans="1:7">
      <c r="A149" s="4" t="s">
        <v>513</v>
      </c>
      <c r="B149" s="12" t="s">
        <v>358</v>
      </c>
      <c r="C149" s="12" t="s">
        <v>359</v>
      </c>
      <c r="D149" s="18">
        <v>0</v>
      </c>
      <c r="E149" s="21" t="s">
        <v>360</v>
      </c>
      <c r="F149" s="21"/>
      <c r="G149" s="5" t="s">
        <v>361</v>
      </c>
    </row>
    <row r="150" spans="1:7">
      <c r="A150" s="4" t="s">
        <v>514</v>
      </c>
      <c r="B150" s="12" t="s">
        <v>358</v>
      </c>
      <c r="C150" s="12" t="s">
        <v>359</v>
      </c>
      <c r="D150" s="18">
        <v>0</v>
      </c>
      <c r="E150" s="21" t="s">
        <v>360</v>
      </c>
      <c r="F150" s="21"/>
      <c r="G150" s="5" t="s">
        <v>361</v>
      </c>
    </row>
    <row r="151" spans="1:7">
      <c r="A151" s="4" t="s">
        <v>515</v>
      </c>
      <c r="B151" s="12" t="s">
        <v>358</v>
      </c>
      <c r="C151" s="12" t="s">
        <v>359</v>
      </c>
      <c r="D151" s="18">
        <v>11</v>
      </c>
      <c r="E151" s="21" t="s">
        <v>360</v>
      </c>
      <c r="F151" s="21"/>
      <c r="G151" s="5" t="s">
        <v>361</v>
      </c>
    </row>
    <row r="152" spans="1:7">
      <c r="A152" s="4" t="s">
        <v>516</v>
      </c>
      <c r="B152" s="12" t="s">
        <v>358</v>
      </c>
      <c r="C152" s="12" t="s">
        <v>359</v>
      </c>
      <c r="D152" s="18">
        <v>5235</v>
      </c>
      <c r="E152" s="21" t="s">
        <v>360</v>
      </c>
      <c r="F152" s="21"/>
      <c r="G152" s="5" t="s">
        <v>361</v>
      </c>
    </row>
    <row r="153" spans="1:7">
      <c r="A153" s="4" t="s">
        <v>517</v>
      </c>
      <c r="B153" s="12" t="s">
        <v>358</v>
      </c>
      <c r="C153" s="12" t="s">
        <v>359</v>
      </c>
      <c r="D153" s="18">
        <v>2</v>
      </c>
      <c r="E153" s="21" t="s">
        <v>518</v>
      </c>
      <c r="F153" s="21"/>
      <c r="G153" s="5" t="s">
        <v>361</v>
      </c>
    </row>
    <row r="154" spans="1:7">
      <c r="A154" s="4" t="s">
        <v>519</v>
      </c>
      <c r="B154" s="12" t="s">
        <v>358</v>
      </c>
      <c r="C154" s="12" t="s">
        <v>359</v>
      </c>
      <c r="D154" s="18">
        <v>21</v>
      </c>
      <c r="E154" s="21" t="s">
        <v>360</v>
      </c>
      <c r="F154" s="21"/>
      <c r="G154" s="5" t="s">
        <v>361</v>
      </c>
    </row>
    <row r="155" spans="1:7">
      <c r="A155" s="4" t="s">
        <v>520</v>
      </c>
      <c r="B155" s="12" t="s">
        <v>358</v>
      </c>
      <c r="C155" s="12" t="s">
        <v>359</v>
      </c>
      <c r="D155" s="18">
        <v>0</v>
      </c>
      <c r="E155" s="21" t="s">
        <v>360</v>
      </c>
      <c r="F155" s="21"/>
      <c r="G155" s="5" t="s">
        <v>361</v>
      </c>
    </row>
    <row r="156" spans="1:7">
      <c r="A156" s="4" t="s">
        <v>521</v>
      </c>
      <c r="B156" s="12" t="s">
        <v>358</v>
      </c>
      <c r="C156" s="12" t="s">
        <v>359</v>
      </c>
      <c r="D156" s="18">
        <v>9</v>
      </c>
      <c r="E156" s="21" t="s">
        <v>360</v>
      </c>
      <c r="F156" s="21"/>
      <c r="G156" s="5" t="s">
        <v>361</v>
      </c>
    </row>
    <row r="157" spans="1:7">
      <c r="A157" s="4" t="s">
        <v>522</v>
      </c>
      <c r="B157" s="12" t="s">
        <v>358</v>
      </c>
      <c r="C157" s="12" t="s">
        <v>359</v>
      </c>
      <c r="D157" s="18">
        <v>0</v>
      </c>
      <c r="E157" s="21" t="s">
        <v>360</v>
      </c>
      <c r="F157" s="21"/>
      <c r="G157" s="5" t="s">
        <v>361</v>
      </c>
    </row>
    <row r="158" spans="1:7">
      <c r="A158" s="4" t="s">
        <v>523</v>
      </c>
      <c r="B158" s="12" t="s">
        <v>358</v>
      </c>
      <c r="C158" s="12" t="s">
        <v>359</v>
      </c>
      <c r="D158" s="18">
        <v>158</v>
      </c>
      <c r="E158" s="21" t="s">
        <v>360</v>
      </c>
      <c r="F158" s="21"/>
      <c r="G158" s="5" t="s">
        <v>361</v>
      </c>
    </row>
    <row r="159" spans="1:7">
      <c r="A159" s="4" t="s">
        <v>524</v>
      </c>
      <c r="B159" s="12" t="s">
        <v>358</v>
      </c>
      <c r="C159" s="12" t="s">
        <v>359</v>
      </c>
      <c r="D159" s="18">
        <v>28</v>
      </c>
      <c r="E159" s="21" t="s">
        <v>360</v>
      </c>
      <c r="F159" s="21"/>
      <c r="G159" s="5" t="s">
        <v>361</v>
      </c>
    </row>
    <row r="160" spans="1:7">
      <c r="A160" s="4" t="s">
        <v>525</v>
      </c>
      <c r="B160" s="12" t="s">
        <v>358</v>
      </c>
      <c r="C160" s="12" t="s">
        <v>359</v>
      </c>
      <c r="D160" s="18">
        <v>2012</v>
      </c>
      <c r="E160" s="21" t="s">
        <v>360</v>
      </c>
      <c r="F160" s="21"/>
      <c r="G160" s="5" t="s">
        <v>361</v>
      </c>
    </row>
    <row r="161" spans="1:7">
      <c r="A161" s="4" t="s">
        <v>312</v>
      </c>
      <c r="B161" s="12" t="s">
        <v>358</v>
      </c>
      <c r="C161" s="12" t="s">
        <v>359</v>
      </c>
      <c r="D161" s="18">
        <v>3</v>
      </c>
      <c r="E161" s="21" t="s">
        <v>360</v>
      </c>
      <c r="F161" s="21"/>
      <c r="G161" s="5" t="s">
        <v>361</v>
      </c>
    </row>
    <row r="162" spans="1:7">
      <c r="A162" s="4" t="s">
        <v>526</v>
      </c>
      <c r="B162" s="12" t="s">
        <v>358</v>
      </c>
      <c r="C162" s="12" t="s">
        <v>359</v>
      </c>
      <c r="D162" s="18">
        <v>267</v>
      </c>
      <c r="E162" s="21" t="s">
        <v>360</v>
      </c>
      <c r="F162" s="21"/>
      <c r="G162" s="5" t="s">
        <v>361</v>
      </c>
    </row>
    <row r="163" spans="1:7">
      <c r="A163" s="4" t="s">
        <v>527</v>
      </c>
      <c r="B163" s="12" t="s">
        <v>358</v>
      </c>
      <c r="C163" s="12" t="s">
        <v>359</v>
      </c>
      <c r="D163" s="18">
        <v>4</v>
      </c>
      <c r="E163" s="21" t="s">
        <v>360</v>
      </c>
      <c r="F163" s="21"/>
      <c r="G163" s="5" t="s">
        <v>361</v>
      </c>
    </row>
    <row r="164" spans="1:7">
      <c r="A164" s="4" t="s">
        <v>528</v>
      </c>
      <c r="B164" s="12" t="s">
        <v>358</v>
      </c>
      <c r="C164" s="12" t="s">
        <v>359</v>
      </c>
      <c r="D164" s="18">
        <v>19</v>
      </c>
      <c r="E164" s="21" t="s">
        <v>360</v>
      </c>
      <c r="F164" s="21"/>
      <c r="G164" s="5" t="s">
        <v>361</v>
      </c>
    </row>
    <row r="165" spans="1:7">
      <c r="A165" s="4" t="s">
        <v>529</v>
      </c>
      <c r="B165" s="12" t="s">
        <v>358</v>
      </c>
      <c r="C165" s="12" t="s">
        <v>359</v>
      </c>
      <c r="D165" s="18">
        <v>1700</v>
      </c>
      <c r="E165" s="21" t="s">
        <v>360</v>
      </c>
      <c r="F165" s="21"/>
      <c r="G165" s="5" t="s">
        <v>361</v>
      </c>
    </row>
    <row r="166" spans="1:7">
      <c r="A166" s="4" t="s">
        <v>229</v>
      </c>
      <c r="B166" s="12" t="s">
        <v>358</v>
      </c>
      <c r="C166" s="12" t="s">
        <v>359</v>
      </c>
      <c r="D166" s="18">
        <v>2257</v>
      </c>
      <c r="E166" s="21" t="s">
        <v>360</v>
      </c>
      <c r="F166" s="21"/>
      <c r="G166" s="5" t="s">
        <v>361</v>
      </c>
    </row>
    <row r="167" spans="1:7">
      <c r="A167" s="4" t="s">
        <v>233</v>
      </c>
      <c r="B167" s="12" t="s">
        <v>358</v>
      </c>
      <c r="C167" s="12" t="s">
        <v>359</v>
      </c>
      <c r="D167" s="18">
        <v>5667</v>
      </c>
      <c r="E167" s="21" t="s">
        <v>360</v>
      </c>
      <c r="F167" s="21"/>
      <c r="G167" s="5" t="s">
        <v>361</v>
      </c>
    </row>
    <row r="168" spans="1:7">
      <c r="A168" s="4" t="s">
        <v>530</v>
      </c>
      <c r="B168" s="12" t="s">
        <v>358</v>
      </c>
      <c r="C168" s="12" t="s">
        <v>359</v>
      </c>
      <c r="D168" s="18">
        <v>0</v>
      </c>
      <c r="E168" s="21" t="s">
        <v>360</v>
      </c>
      <c r="F168" s="21"/>
      <c r="G168" s="5" t="s">
        <v>361</v>
      </c>
    </row>
    <row r="169" spans="1:7">
      <c r="A169" s="4" t="s">
        <v>236</v>
      </c>
      <c r="B169" s="12" t="s">
        <v>358</v>
      </c>
      <c r="C169" s="12" t="s">
        <v>359</v>
      </c>
      <c r="D169" s="18">
        <v>65</v>
      </c>
      <c r="E169" s="21" t="s">
        <v>360</v>
      </c>
      <c r="F169" s="21"/>
      <c r="G169" s="5" t="s">
        <v>361</v>
      </c>
    </row>
    <row r="170" spans="1:7">
      <c r="A170" s="4" t="s">
        <v>531</v>
      </c>
      <c r="B170" s="12" t="s">
        <v>358</v>
      </c>
      <c r="C170" s="12" t="s">
        <v>359</v>
      </c>
      <c r="D170" s="18">
        <v>0</v>
      </c>
      <c r="E170" s="21" t="s">
        <v>360</v>
      </c>
      <c r="F170" s="21"/>
      <c r="G170" s="5" t="s">
        <v>361</v>
      </c>
    </row>
    <row r="171" spans="1:7">
      <c r="A171" s="4" t="s">
        <v>532</v>
      </c>
      <c r="B171" s="12" t="s">
        <v>358</v>
      </c>
      <c r="C171" s="12" t="s">
        <v>359</v>
      </c>
      <c r="D171" s="18">
        <v>7945</v>
      </c>
      <c r="E171" s="21" t="s">
        <v>360</v>
      </c>
      <c r="F171" s="21"/>
      <c r="G171" s="5" t="s">
        <v>361</v>
      </c>
    </row>
    <row r="172" spans="1:7">
      <c r="A172" s="4" t="s">
        <v>533</v>
      </c>
      <c r="B172" s="12" t="s">
        <v>358</v>
      </c>
      <c r="C172" s="12" t="s">
        <v>359</v>
      </c>
      <c r="D172" s="18">
        <v>4251</v>
      </c>
      <c r="E172" s="21" t="s">
        <v>360</v>
      </c>
      <c r="F172" s="21"/>
      <c r="G172" s="5" t="s">
        <v>361</v>
      </c>
    </row>
    <row r="173" spans="1:7">
      <c r="A173" s="4" t="s">
        <v>534</v>
      </c>
      <c r="B173" s="12" t="s">
        <v>358</v>
      </c>
      <c r="C173" s="12" t="s">
        <v>359</v>
      </c>
      <c r="D173" s="18">
        <v>31</v>
      </c>
      <c r="E173" s="21" t="s">
        <v>360</v>
      </c>
      <c r="F173" s="21"/>
      <c r="G173" s="5" t="s">
        <v>361</v>
      </c>
    </row>
    <row r="174" spans="1:7">
      <c r="A174" s="4" t="s">
        <v>535</v>
      </c>
      <c r="B174" s="12" t="s">
        <v>358</v>
      </c>
      <c r="C174" s="12" t="s">
        <v>359</v>
      </c>
      <c r="D174" s="18">
        <v>14</v>
      </c>
      <c r="E174" s="21" t="s">
        <v>360</v>
      </c>
      <c r="F174" s="21"/>
      <c r="G174" s="5" t="s">
        <v>361</v>
      </c>
    </row>
    <row r="175" spans="1:7">
      <c r="A175" s="4" t="s">
        <v>536</v>
      </c>
      <c r="B175" s="12" t="s">
        <v>358</v>
      </c>
      <c r="C175" s="12" t="s">
        <v>359</v>
      </c>
      <c r="D175" s="18">
        <v>89</v>
      </c>
      <c r="E175" s="21" t="s">
        <v>360</v>
      </c>
      <c r="F175" s="21" t="s">
        <v>537</v>
      </c>
      <c r="G175" s="5" t="s">
        <v>361</v>
      </c>
    </row>
    <row r="176" spans="1:7">
      <c r="A176" s="4" t="s">
        <v>538</v>
      </c>
      <c r="B176" s="12" t="s">
        <v>358</v>
      </c>
      <c r="C176" s="12" t="s">
        <v>359</v>
      </c>
      <c r="D176" s="18">
        <v>2305</v>
      </c>
      <c r="E176" s="21" t="s">
        <v>360</v>
      </c>
      <c r="F176" s="21"/>
      <c r="G176" s="5" t="s">
        <v>361</v>
      </c>
    </row>
    <row r="177" spans="1:7">
      <c r="A177" s="4" t="s">
        <v>539</v>
      </c>
      <c r="B177" s="12" t="s">
        <v>358</v>
      </c>
      <c r="C177" s="12" t="s">
        <v>359</v>
      </c>
      <c r="D177" s="18">
        <v>0</v>
      </c>
      <c r="E177" s="21" t="s">
        <v>360</v>
      </c>
      <c r="F177" s="21"/>
      <c r="G177" s="5" t="s">
        <v>361</v>
      </c>
    </row>
    <row r="178" spans="1:7">
      <c r="A178" s="4" t="s">
        <v>540</v>
      </c>
      <c r="B178" s="12" t="s">
        <v>358</v>
      </c>
      <c r="C178" s="12" t="s">
        <v>359</v>
      </c>
      <c r="D178" s="18">
        <v>584</v>
      </c>
      <c r="E178" s="21" t="s">
        <v>360</v>
      </c>
      <c r="F178" s="21"/>
      <c r="G178" s="5" t="s">
        <v>361</v>
      </c>
    </row>
    <row r="179" spans="1:7">
      <c r="A179" s="4" t="s">
        <v>293</v>
      </c>
      <c r="B179" s="12" t="s">
        <v>358</v>
      </c>
      <c r="C179" s="12" t="s">
        <v>359</v>
      </c>
      <c r="D179" s="18">
        <v>1630</v>
      </c>
      <c r="E179" s="21" t="s">
        <v>360</v>
      </c>
      <c r="F179" s="21"/>
      <c r="G179" s="5" t="s">
        <v>361</v>
      </c>
    </row>
    <row r="180" spans="1:7" ht="28.5">
      <c r="A180" s="4" t="s">
        <v>541</v>
      </c>
      <c r="B180" s="12" t="s">
        <v>358</v>
      </c>
      <c r="C180" s="12" t="s">
        <v>359</v>
      </c>
      <c r="D180" s="18">
        <v>1321</v>
      </c>
      <c r="E180" s="21" t="s">
        <v>542</v>
      </c>
      <c r="F180" s="21"/>
      <c r="G180" s="5" t="s">
        <v>361</v>
      </c>
    </row>
    <row r="181" spans="1:7">
      <c r="A181" s="4" t="s">
        <v>543</v>
      </c>
      <c r="B181" s="12" t="s">
        <v>358</v>
      </c>
      <c r="C181" s="12" t="s">
        <v>359</v>
      </c>
      <c r="D181" s="18">
        <v>1630</v>
      </c>
      <c r="E181" s="21" t="s">
        <v>360</v>
      </c>
      <c r="F181" s="21"/>
      <c r="G181" s="5" t="s">
        <v>361</v>
      </c>
    </row>
    <row r="182" spans="1:7">
      <c r="A182" s="4" t="s">
        <v>544</v>
      </c>
      <c r="B182" s="12" t="s">
        <v>358</v>
      </c>
      <c r="C182" s="12" t="s">
        <v>359</v>
      </c>
      <c r="D182" s="18">
        <v>6</v>
      </c>
      <c r="E182" s="21" t="s">
        <v>360</v>
      </c>
      <c r="F182" s="21"/>
      <c r="G182" s="5" t="s">
        <v>361</v>
      </c>
    </row>
    <row r="183" spans="1:7">
      <c r="A183" s="4" t="s">
        <v>545</v>
      </c>
      <c r="B183" s="12" t="s">
        <v>358</v>
      </c>
      <c r="C183" s="12" t="s">
        <v>359</v>
      </c>
      <c r="D183" s="18">
        <v>0</v>
      </c>
      <c r="E183" s="21" t="s">
        <v>360</v>
      </c>
      <c r="F183" s="21"/>
      <c r="G183" s="5" t="s">
        <v>361</v>
      </c>
    </row>
    <row r="184" spans="1:7">
      <c r="A184" s="4" t="s">
        <v>546</v>
      </c>
      <c r="B184" s="12" t="s">
        <v>358</v>
      </c>
      <c r="C184" s="12" t="s">
        <v>359</v>
      </c>
      <c r="D184" s="18">
        <v>0</v>
      </c>
      <c r="E184" s="21" t="s">
        <v>360</v>
      </c>
      <c r="F184" s="21"/>
      <c r="G184" s="5" t="s">
        <v>361</v>
      </c>
    </row>
    <row r="185" spans="1:7">
      <c r="A185" s="4" t="s">
        <v>275</v>
      </c>
      <c r="B185" s="12" t="s">
        <v>358</v>
      </c>
      <c r="C185" s="12" t="s">
        <v>359</v>
      </c>
      <c r="D185" s="18">
        <v>3155</v>
      </c>
      <c r="E185" s="21" t="s">
        <v>360</v>
      </c>
      <c r="F185" s="21"/>
      <c r="G185" s="5" t="s">
        <v>361</v>
      </c>
    </row>
    <row r="186" spans="1:7">
      <c r="A186" s="4" t="s">
        <v>547</v>
      </c>
      <c r="B186" s="12" t="s">
        <v>358</v>
      </c>
      <c r="C186" s="12" t="s">
        <v>359</v>
      </c>
      <c r="D186" s="18">
        <v>62</v>
      </c>
      <c r="E186" s="21" t="s">
        <v>360</v>
      </c>
      <c r="F186" s="21"/>
      <c r="G186" s="5" t="s">
        <v>361</v>
      </c>
    </row>
    <row r="187" spans="1:7">
      <c r="A187" s="4" t="s">
        <v>548</v>
      </c>
      <c r="B187" s="12" t="s">
        <v>358</v>
      </c>
      <c r="C187" s="12" t="s">
        <v>359</v>
      </c>
      <c r="D187" s="18">
        <v>6</v>
      </c>
      <c r="E187" s="21" t="s">
        <v>360</v>
      </c>
      <c r="F187" s="21"/>
      <c r="G187" s="5" t="s">
        <v>361</v>
      </c>
    </row>
    <row r="188" spans="1:7">
      <c r="A188" s="4" t="s">
        <v>549</v>
      </c>
      <c r="B188" s="12" t="s">
        <v>358</v>
      </c>
      <c r="C188" s="12" t="s">
        <v>359</v>
      </c>
      <c r="D188" s="18">
        <v>67</v>
      </c>
      <c r="E188" s="21" t="s">
        <v>360</v>
      </c>
      <c r="F188" s="21"/>
      <c r="G188" s="5" t="s">
        <v>361</v>
      </c>
    </row>
    <row r="189" spans="1:7">
      <c r="A189" s="4" t="s">
        <v>550</v>
      </c>
      <c r="B189" s="12" t="s">
        <v>358</v>
      </c>
      <c r="C189" s="12" t="s">
        <v>359</v>
      </c>
      <c r="D189" s="18">
        <v>5</v>
      </c>
      <c r="E189" s="21" t="s">
        <v>360</v>
      </c>
      <c r="F189" s="21"/>
      <c r="G189" s="5" t="s">
        <v>361</v>
      </c>
    </row>
    <row r="190" spans="1:7">
      <c r="A190" s="4" t="s">
        <v>551</v>
      </c>
      <c r="B190" s="12" t="s">
        <v>358</v>
      </c>
      <c r="C190" s="12" t="s">
        <v>359</v>
      </c>
      <c r="D190" s="18">
        <v>293</v>
      </c>
      <c r="E190" s="21" t="s">
        <v>360</v>
      </c>
      <c r="F190" s="21" t="s">
        <v>537</v>
      </c>
      <c r="G190" s="5" t="s">
        <v>361</v>
      </c>
    </row>
    <row r="191" spans="1:7">
      <c r="A191" s="4" t="s">
        <v>552</v>
      </c>
      <c r="B191" s="12" t="s">
        <v>358</v>
      </c>
      <c r="C191" s="12" t="s">
        <v>359</v>
      </c>
      <c r="D191" s="18">
        <v>60</v>
      </c>
      <c r="E191" s="21" t="s">
        <v>360</v>
      </c>
      <c r="F191" s="21"/>
      <c r="G191" s="5" t="s">
        <v>361</v>
      </c>
    </row>
    <row r="192" spans="1:7">
      <c r="A192" s="4" t="s">
        <v>553</v>
      </c>
      <c r="B192" s="12" t="s">
        <v>358</v>
      </c>
      <c r="C192" s="12" t="s">
        <v>359</v>
      </c>
      <c r="D192" s="18">
        <v>369</v>
      </c>
      <c r="E192" s="21" t="s">
        <v>360</v>
      </c>
      <c r="F192" s="21"/>
      <c r="G192" s="5" t="s">
        <v>361</v>
      </c>
    </row>
    <row r="193" spans="1:7">
      <c r="A193" s="4" t="s">
        <v>554</v>
      </c>
      <c r="B193" s="12" t="s">
        <v>358</v>
      </c>
      <c r="C193" s="12" t="s">
        <v>359</v>
      </c>
      <c r="D193" s="18">
        <v>1337</v>
      </c>
      <c r="E193" s="21" t="s">
        <v>360</v>
      </c>
      <c r="F193" s="21"/>
      <c r="G193" s="5" t="s">
        <v>361</v>
      </c>
    </row>
    <row r="194" spans="1:7">
      <c r="A194" s="4" t="s">
        <v>555</v>
      </c>
      <c r="B194" s="12" t="s">
        <v>358</v>
      </c>
      <c r="C194" s="12" t="s">
        <v>359</v>
      </c>
      <c r="D194" s="18">
        <v>6</v>
      </c>
      <c r="E194" s="21" t="s">
        <v>360</v>
      </c>
      <c r="F194" s="21"/>
      <c r="G194" s="5" t="s">
        <v>361</v>
      </c>
    </row>
    <row r="195" spans="1:7">
      <c r="A195" s="4" t="s">
        <v>239</v>
      </c>
      <c r="B195" s="12" t="s">
        <v>358</v>
      </c>
      <c r="C195" s="12" t="s">
        <v>359</v>
      </c>
      <c r="D195" s="18">
        <v>7</v>
      </c>
      <c r="E195" s="21" t="s">
        <v>556</v>
      </c>
      <c r="F195" s="21" t="s">
        <v>380</v>
      </c>
      <c r="G195" s="5" t="s">
        <v>361</v>
      </c>
    </row>
    <row r="196" spans="1:7">
      <c r="A196" s="4" t="s">
        <v>557</v>
      </c>
      <c r="B196" s="12" t="s">
        <v>358</v>
      </c>
      <c r="C196" s="12" t="s">
        <v>359</v>
      </c>
      <c r="D196" s="18">
        <v>21</v>
      </c>
      <c r="E196" s="21" t="s">
        <v>360</v>
      </c>
      <c r="F196" s="21" t="s">
        <v>380</v>
      </c>
      <c r="G196" s="5" t="s">
        <v>361</v>
      </c>
    </row>
    <row r="197" spans="1:7">
      <c r="A197" s="4" t="s">
        <v>243</v>
      </c>
      <c r="B197" s="12" t="s">
        <v>358</v>
      </c>
      <c r="C197" s="12" t="s">
        <v>359</v>
      </c>
      <c r="D197" s="18">
        <v>10</v>
      </c>
      <c r="E197" s="21" t="s">
        <v>558</v>
      </c>
      <c r="F197" s="21" t="s">
        <v>380</v>
      </c>
      <c r="G197" s="5" t="s">
        <v>361</v>
      </c>
    </row>
    <row r="198" spans="1:7">
      <c r="A198" s="4" t="s">
        <v>559</v>
      </c>
      <c r="B198" s="12" t="s">
        <v>358</v>
      </c>
      <c r="C198" s="12" t="s">
        <v>359</v>
      </c>
      <c r="D198" s="18">
        <v>18</v>
      </c>
      <c r="E198" s="21" t="s">
        <v>560</v>
      </c>
      <c r="F198" s="21" t="s">
        <v>380</v>
      </c>
      <c r="G198" s="5" t="s">
        <v>361</v>
      </c>
    </row>
    <row r="199" spans="1:7">
      <c r="A199" s="4" t="s">
        <v>561</v>
      </c>
      <c r="B199" s="12" t="s">
        <v>358</v>
      </c>
      <c r="C199" s="12" t="s">
        <v>359</v>
      </c>
      <c r="D199" s="18">
        <v>0</v>
      </c>
      <c r="E199" s="21" t="s">
        <v>556</v>
      </c>
      <c r="F199" s="21"/>
      <c r="G199" s="5" t="s">
        <v>361</v>
      </c>
    </row>
    <row r="200" spans="1:7">
      <c r="A200" s="4" t="s">
        <v>247</v>
      </c>
      <c r="B200" s="12" t="s">
        <v>358</v>
      </c>
      <c r="C200" s="12" t="s">
        <v>359</v>
      </c>
      <c r="D200" s="18">
        <v>2</v>
      </c>
      <c r="E200" s="21" t="s">
        <v>562</v>
      </c>
      <c r="F200" s="21" t="s">
        <v>380</v>
      </c>
      <c r="G200" s="5" t="s">
        <v>361</v>
      </c>
    </row>
    <row r="201" spans="1:7">
      <c r="A201" s="4" t="s">
        <v>563</v>
      </c>
      <c r="B201" s="12" t="s">
        <v>358</v>
      </c>
      <c r="C201" s="12" t="s">
        <v>359</v>
      </c>
      <c r="D201" s="18">
        <v>1</v>
      </c>
      <c r="E201" s="21" t="s">
        <v>562</v>
      </c>
      <c r="F201" s="21" t="s">
        <v>380</v>
      </c>
      <c r="G201" s="5" t="s">
        <v>361</v>
      </c>
    </row>
    <row r="202" spans="1:7">
      <c r="A202" s="4" t="s">
        <v>206</v>
      </c>
      <c r="B202" s="12" t="s">
        <v>358</v>
      </c>
      <c r="C202" s="12" t="s">
        <v>359</v>
      </c>
      <c r="D202" s="18">
        <v>5732</v>
      </c>
      <c r="E202" s="21" t="s">
        <v>360</v>
      </c>
      <c r="F202" s="21"/>
      <c r="G202" s="5" t="s">
        <v>361</v>
      </c>
    </row>
    <row r="203" spans="1:7">
      <c r="A203" s="4" t="s">
        <v>564</v>
      </c>
      <c r="B203" s="12" t="s">
        <v>358</v>
      </c>
      <c r="C203" s="12" t="s">
        <v>359</v>
      </c>
      <c r="D203" s="18">
        <v>5982</v>
      </c>
      <c r="E203" s="21" t="s">
        <v>360</v>
      </c>
      <c r="F203" s="21"/>
      <c r="G203" s="5" t="s">
        <v>361</v>
      </c>
    </row>
    <row r="204" spans="1:7">
      <c r="A204" s="4" t="s">
        <v>565</v>
      </c>
      <c r="B204" s="12" t="s">
        <v>358</v>
      </c>
      <c r="C204" s="12" t="s">
        <v>359</v>
      </c>
      <c r="D204" s="18">
        <v>664</v>
      </c>
      <c r="E204" s="21" t="s">
        <v>360</v>
      </c>
      <c r="F204" s="21"/>
      <c r="G204" s="5" t="s">
        <v>361</v>
      </c>
    </row>
    <row r="205" spans="1:7">
      <c r="A205" s="4" t="s">
        <v>566</v>
      </c>
      <c r="B205" s="12" t="s">
        <v>358</v>
      </c>
      <c r="C205" s="12" t="s">
        <v>359</v>
      </c>
      <c r="D205" s="18">
        <v>0</v>
      </c>
      <c r="E205" s="21" t="s">
        <v>360</v>
      </c>
      <c r="F205" s="21"/>
      <c r="G205" s="5" t="s">
        <v>361</v>
      </c>
    </row>
    <row r="206" spans="1:7">
      <c r="A206" s="4" t="s">
        <v>567</v>
      </c>
      <c r="B206" s="12" t="s">
        <v>358</v>
      </c>
      <c r="C206" s="12" t="s">
        <v>359</v>
      </c>
      <c r="D206" s="18">
        <v>2</v>
      </c>
      <c r="E206" s="21" t="s">
        <v>360</v>
      </c>
      <c r="F206" s="21"/>
      <c r="G206" s="5" t="s">
        <v>361</v>
      </c>
    </row>
    <row r="207" spans="1:7">
      <c r="A207" s="4" t="s">
        <v>568</v>
      </c>
      <c r="B207" s="12" t="s">
        <v>358</v>
      </c>
      <c r="C207" s="12" t="s">
        <v>359</v>
      </c>
      <c r="D207" s="18">
        <v>15</v>
      </c>
      <c r="E207" s="21" t="s">
        <v>360</v>
      </c>
      <c r="F207" s="21"/>
      <c r="G207" s="5" t="s">
        <v>361</v>
      </c>
    </row>
    <row r="208" spans="1:7">
      <c r="A208" s="4" t="s">
        <v>569</v>
      </c>
      <c r="B208" s="12" t="s">
        <v>358</v>
      </c>
      <c r="C208" s="12" t="s">
        <v>359</v>
      </c>
      <c r="D208" s="18">
        <v>17</v>
      </c>
      <c r="E208" s="21" t="s">
        <v>360</v>
      </c>
      <c r="F208" s="21"/>
      <c r="G208" s="5" t="s">
        <v>361</v>
      </c>
    </row>
    <row r="209" spans="1:7">
      <c r="A209" s="4" t="s">
        <v>570</v>
      </c>
      <c r="B209" s="12" t="s">
        <v>358</v>
      </c>
      <c r="C209" s="12" t="s">
        <v>359</v>
      </c>
      <c r="D209" s="18">
        <v>18</v>
      </c>
      <c r="E209" s="21" t="s">
        <v>360</v>
      </c>
      <c r="F209" s="21"/>
      <c r="G209" s="5" t="s">
        <v>361</v>
      </c>
    </row>
    <row r="210" spans="1:7">
      <c r="A210" s="4" t="s">
        <v>571</v>
      </c>
      <c r="B210" s="12" t="s">
        <v>358</v>
      </c>
      <c r="C210" s="12" t="s">
        <v>359</v>
      </c>
      <c r="D210" s="18">
        <v>28</v>
      </c>
      <c r="E210" s="21" t="s">
        <v>360</v>
      </c>
      <c r="F210" s="21"/>
      <c r="G210" s="5" t="s">
        <v>361</v>
      </c>
    </row>
    <row r="211" spans="1:7">
      <c r="A211" s="4" t="s">
        <v>572</v>
      </c>
      <c r="B211" s="12" t="s">
        <v>358</v>
      </c>
      <c r="C211" s="12" t="s">
        <v>359</v>
      </c>
      <c r="D211" s="18">
        <v>3</v>
      </c>
      <c r="E211" s="21" t="s">
        <v>360</v>
      </c>
      <c r="F211" s="21"/>
      <c r="G211" s="5" t="s">
        <v>361</v>
      </c>
    </row>
    <row r="212" spans="1:7">
      <c r="A212" s="4" t="s">
        <v>573</v>
      </c>
      <c r="B212" s="12" t="s">
        <v>358</v>
      </c>
      <c r="C212" s="12" t="s">
        <v>359</v>
      </c>
      <c r="D212" s="18">
        <v>43</v>
      </c>
      <c r="E212" s="21" t="s">
        <v>360</v>
      </c>
      <c r="F212" s="21"/>
      <c r="G212" s="5" t="s">
        <v>361</v>
      </c>
    </row>
    <row r="213" spans="1:7">
      <c r="A213" s="4" t="s">
        <v>574</v>
      </c>
      <c r="B213" s="12" t="s">
        <v>358</v>
      </c>
      <c r="C213" s="12" t="s">
        <v>359</v>
      </c>
      <c r="D213" s="18">
        <v>2</v>
      </c>
      <c r="E213" s="21" t="s">
        <v>360</v>
      </c>
      <c r="F213" s="21"/>
      <c r="G213" s="5" t="s">
        <v>361</v>
      </c>
    </row>
    <row r="214" spans="1:7">
      <c r="A214" s="4" t="s">
        <v>575</v>
      </c>
      <c r="B214" s="12" t="s">
        <v>358</v>
      </c>
      <c r="C214" s="12" t="s">
        <v>359</v>
      </c>
      <c r="D214" s="18">
        <v>2</v>
      </c>
      <c r="E214" s="21" t="s">
        <v>360</v>
      </c>
      <c r="F214" s="21"/>
      <c r="G214" s="5" t="s">
        <v>361</v>
      </c>
    </row>
    <row r="215" spans="1:7">
      <c r="A215" s="4" t="s">
        <v>576</v>
      </c>
      <c r="B215" s="12" t="s">
        <v>358</v>
      </c>
      <c r="C215" s="12" t="s">
        <v>359</v>
      </c>
      <c r="D215" s="18">
        <v>0</v>
      </c>
      <c r="E215" s="21" t="s">
        <v>360</v>
      </c>
      <c r="F215" s="21"/>
      <c r="G215" s="5" t="s">
        <v>361</v>
      </c>
    </row>
    <row r="216" spans="1:7">
      <c r="A216" s="4" t="s">
        <v>577</v>
      </c>
      <c r="B216" s="12" t="s">
        <v>358</v>
      </c>
      <c r="C216" s="12" t="s">
        <v>359</v>
      </c>
      <c r="D216" s="18">
        <v>0</v>
      </c>
      <c r="E216" s="21" t="s">
        <v>360</v>
      </c>
      <c r="F216" s="21"/>
      <c r="G216" s="5" t="s">
        <v>361</v>
      </c>
    </row>
    <row r="217" spans="1:7">
      <c r="A217" s="4" t="s">
        <v>578</v>
      </c>
      <c r="B217" s="12" t="s">
        <v>358</v>
      </c>
      <c r="C217" s="12" t="s">
        <v>359</v>
      </c>
      <c r="D217" s="18">
        <v>0</v>
      </c>
      <c r="E217" s="21" t="s">
        <v>360</v>
      </c>
      <c r="F217" s="21"/>
      <c r="G217" s="5" t="s">
        <v>361</v>
      </c>
    </row>
    <row r="218" spans="1:7">
      <c r="A218" s="4" t="s">
        <v>579</v>
      </c>
      <c r="B218" s="12" t="s">
        <v>358</v>
      </c>
      <c r="C218" s="12" t="s">
        <v>359</v>
      </c>
      <c r="D218" s="18">
        <v>0</v>
      </c>
      <c r="E218" s="21" t="s">
        <v>360</v>
      </c>
      <c r="F218" s="21"/>
      <c r="G218" s="5" t="s">
        <v>361</v>
      </c>
    </row>
    <row r="219" spans="1:7">
      <c r="A219" s="4" t="s">
        <v>580</v>
      </c>
      <c r="B219" s="12" t="s">
        <v>358</v>
      </c>
      <c r="C219" s="12" t="s">
        <v>359</v>
      </c>
      <c r="D219" s="18">
        <v>0</v>
      </c>
      <c r="E219" s="21" t="s">
        <v>360</v>
      </c>
      <c r="F219" s="21"/>
      <c r="G219" s="5" t="s">
        <v>361</v>
      </c>
    </row>
    <row r="220" spans="1:7">
      <c r="A220" s="4" t="s">
        <v>581</v>
      </c>
      <c r="B220" s="12" t="s">
        <v>358</v>
      </c>
      <c r="C220" s="12" t="s">
        <v>359</v>
      </c>
      <c r="D220" s="18">
        <v>0</v>
      </c>
      <c r="E220" s="21" t="s">
        <v>360</v>
      </c>
      <c r="F220" s="21"/>
      <c r="G220" s="5" t="s">
        <v>361</v>
      </c>
    </row>
    <row r="221" spans="1:7">
      <c r="A221" s="4" t="s">
        <v>582</v>
      </c>
      <c r="B221" s="12" t="s">
        <v>358</v>
      </c>
      <c r="C221" s="12" t="s">
        <v>359</v>
      </c>
      <c r="D221" s="18">
        <v>0</v>
      </c>
      <c r="E221" s="21" t="s">
        <v>360</v>
      </c>
      <c r="F221" s="21"/>
      <c r="G221" s="5" t="s">
        <v>361</v>
      </c>
    </row>
    <row r="222" spans="1:7">
      <c r="A222" s="4" t="s">
        <v>583</v>
      </c>
      <c r="B222" s="12" t="s">
        <v>358</v>
      </c>
      <c r="C222" s="12" t="s">
        <v>359</v>
      </c>
      <c r="D222" s="18">
        <v>0</v>
      </c>
      <c r="E222" s="21" t="s">
        <v>360</v>
      </c>
      <c r="F222" s="21"/>
      <c r="G222" s="5" t="s">
        <v>361</v>
      </c>
    </row>
    <row r="223" spans="1:7">
      <c r="A223" s="4" t="s">
        <v>584</v>
      </c>
      <c r="B223" s="12" t="s">
        <v>358</v>
      </c>
      <c r="C223" s="12" t="s">
        <v>359</v>
      </c>
      <c r="D223" s="18">
        <v>0</v>
      </c>
      <c r="E223" s="21" t="s">
        <v>360</v>
      </c>
      <c r="F223" s="21"/>
      <c r="G223" s="5" t="s">
        <v>361</v>
      </c>
    </row>
    <row r="224" spans="1:7">
      <c r="A224" s="4" t="s">
        <v>585</v>
      </c>
      <c r="B224" s="12" t="s">
        <v>358</v>
      </c>
      <c r="C224" s="12" t="s">
        <v>359</v>
      </c>
      <c r="D224" s="18">
        <v>0</v>
      </c>
      <c r="E224" s="21" t="s">
        <v>360</v>
      </c>
      <c r="F224" s="21"/>
      <c r="G224" s="5" t="s">
        <v>361</v>
      </c>
    </row>
    <row r="225" spans="1:7">
      <c r="A225" s="4" t="s">
        <v>586</v>
      </c>
      <c r="B225" s="12" t="s">
        <v>358</v>
      </c>
      <c r="C225" s="12" t="s">
        <v>359</v>
      </c>
      <c r="D225" s="18">
        <v>8</v>
      </c>
      <c r="E225" s="21" t="s">
        <v>360</v>
      </c>
      <c r="F225" s="21"/>
      <c r="G225" s="5" t="s">
        <v>361</v>
      </c>
    </row>
    <row r="226" spans="1:7">
      <c r="A226" s="4" t="s">
        <v>587</v>
      </c>
      <c r="B226" s="12" t="s">
        <v>358</v>
      </c>
      <c r="C226" s="12" t="s">
        <v>359</v>
      </c>
      <c r="D226" s="18">
        <v>4</v>
      </c>
      <c r="E226" s="21" t="s">
        <v>588</v>
      </c>
      <c r="F226" s="21" t="s">
        <v>380</v>
      </c>
      <c r="G226" s="5" t="s">
        <v>361</v>
      </c>
    </row>
    <row r="227" spans="1:7">
      <c r="A227" s="4" t="s">
        <v>589</v>
      </c>
      <c r="B227" s="12" t="s">
        <v>358</v>
      </c>
      <c r="C227" s="12" t="s">
        <v>359</v>
      </c>
      <c r="D227" s="18">
        <v>4</v>
      </c>
      <c r="E227" s="21" t="s">
        <v>588</v>
      </c>
      <c r="F227" s="21" t="s">
        <v>380</v>
      </c>
      <c r="G227" s="5" t="s">
        <v>361</v>
      </c>
    </row>
    <row r="228" spans="1:7">
      <c r="A228" s="4" t="s">
        <v>590</v>
      </c>
      <c r="B228" s="12" t="s">
        <v>358</v>
      </c>
      <c r="C228" s="12" t="s">
        <v>359</v>
      </c>
      <c r="D228" s="18">
        <v>14</v>
      </c>
      <c r="E228" s="21" t="s">
        <v>588</v>
      </c>
      <c r="F228" s="21" t="s">
        <v>380</v>
      </c>
      <c r="G228" s="5" t="s">
        <v>361</v>
      </c>
    </row>
    <row r="229" spans="1:7">
      <c r="A229" s="4" t="s">
        <v>591</v>
      </c>
      <c r="B229" s="12" t="s">
        <v>358</v>
      </c>
      <c r="C229" s="12" t="s">
        <v>359</v>
      </c>
      <c r="D229" s="18">
        <v>26</v>
      </c>
      <c r="E229" s="21" t="s">
        <v>360</v>
      </c>
      <c r="F229" s="21"/>
      <c r="G229" s="5" t="s">
        <v>361</v>
      </c>
    </row>
    <row r="230" spans="1:7">
      <c r="A230" s="4" t="s">
        <v>257</v>
      </c>
      <c r="B230" s="12" t="s">
        <v>358</v>
      </c>
      <c r="C230" s="12" t="s">
        <v>359</v>
      </c>
      <c r="D230" s="18">
        <v>2258</v>
      </c>
      <c r="E230" s="21" t="s">
        <v>360</v>
      </c>
      <c r="F230" s="21"/>
      <c r="G230" s="5" t="s">
        <v>361</v>
      </c>
    </row>
    <row r="231" spans="1:7">
      <c r="A231" s="4" t="s">
        <v>592</v>
      </c>
      <c r="B231" s="12" t="s">
        <v>358</v>
      </c>
      <c r="C231" s="12" t="s">
        <v>359</v>
      </c>
      <c r="D231" s="18">
        <v>23</v>
      </c>
      <c r="E231" s="21" t="s">
        <v>360</v>
      </c>
      <c r="F231" s="21"/>
      <c r="G231" s="5" t="s">
        <v>361</v>
      </c>
    </row>
    <row r="232" spans="1:7">
      <c r="A232" s="4" t="s">
        <v>301</v>
      </c>
      <c r="B232" s="12" t="s">
        <v>358</v>
      </c>
      <c r="C232" s="12" t="s">
        <v>359</v>
      </c>
      <c r="D232" s="18">
        <v>18</v>
      </c>
      <c r="E232" s="21" t="s">
        <v>360</v>
      </c>
      <c r="F232" s="21"/>
      <c r="G232" s="5" t="s">
        <v>361</v>
      </c>
    </row>
    <row r="233" spans="1:7">
      <c r="A233" s="4" t="s">
        <v>309</v>
      </c>
      <c r="B233" s="12" t="s">
        <v>358</v>
      </c>
      <c r="C233" s="12" t="s">
        <v>359</v>
      </c>
      <c r="D233" s="18">
        <v>24</v>
      </c>
      <c r="E233" s="21" t="s">
        <v>360</v>
      </c>
      <c r="F233" s="21"/>
      <c r="G233" s="5" t="s">
        <v>361</v>
      </c>
    </row>
    <row r="234" spans="1:7">
      <c r="A234" s="4" t="s">
        <v>593</v>
      </c>
      <c r="B234" s="12" t="s">
        <v>358</v>
      </c>
      <c r="C234" s="12" t="s">
        <v>359</v>
      </c>
      <c r="D234" s="18">
        <v>4</v>
      </c>
      <c r="E234" s="21" t="s">
        <v>360</v>
      </c>
      <c r="F234" s="21"/>
      <c r="G234" s="5" t="s">
        <v>361</v>
      </c>
    </row>
    <row r="235" spans="1:7">
      <c r="A235" s="4" t="s">
        <v>594</v>
      </c>
      <c r="B235" s="12" t="s">
        <v>358</v>
      </c>
      <c r="C235" s="12" t="s">
        <v>359</v>
      </c>
      <c r="D235" s="18">
        <v>0</v>
      </c>
      <c r="E235" s="21" t="s">
        <v>360</v>
      </c>
      <c r="F235" s="21"/>
      <c r="G235" s="5" t="s">
        <v>361</v>
      </c>
    </row>
    <row r="236" spans="1:7">
      <c r="A236" s="4" t="s">
        <v>595</v>
      </c>
      <c r="B236" s="12" t="s">
        <v>358</v>
      </c>
      <c r="C236" s="12" t="s">
        <v>359</v>
      </c>
      <c r="D236" s="18">
        <v>2</v>
      </c>
      <c r="E236" s="21" t="s">
        <v>360</v>
      </c>
      <c r="F236" s="21"/>
      <c r="G236" s="5" t="s">
        <v>361</v>
      </c>
    </row>
    <row r="237" spans="1:7">
      <c r="A237" s="4" t="s">
        <v>596</v>
      </c>
      <c r="B237" s="12" t="s">
        <v>358</v>
      </c>
      <c r="C237" s="12" t="s">
        <v>359</v>
      </c>
      <c r="D237" s="18">
        <v>2</v>
      </c>
      <c r="E237" s="21" t="s">
        <v>360</v>
      </c>
      <c r="F237" s="21"/>
      <c r="G237" s="5" t="s">
        <v>361</v>
      </c>
    </row>
    <row r="238" spans="1:7">
      <c r="A238" s="4" t="s">
        <v>597</v>
      </c>
      <c r="B238" s="12" t="s">
        <v>358</v>
      </c>
      <c r="C238" s="12" t="s">
        <v>359</v>
      </c>
      <c r="D238" s="18">
        <v>4</v>
      </c>
      <c r="E238" s="21" t="s">
        <v>360</v>
      </c>
      <c r="F238" s="21"/>
      <c r="G238" s="5" t="s">
        <v>361</v>
      </c>
    </row>
    <row r="239" spans="1:7">
      <c r="A239" s="4" t="s">
        <v>598</v>
      </c>
      <c r="B239" s="12" t="s">
        <v>358</v>
      </c>
      <c r="C239" s="12" t="s">
        <v>359</v>
      </c>
      <c r="D239" s="18">
        <v>4</v>
      </c>
      <c r="E239" s="21" t="s">
        <v>360</v>
      </c>
      <c r="F239" s="21"/>
      <c r="G239" s="5" t="s">
        <v>361</v>
      </c>
    </row>
    <row r="240" spans="1:7">
      <c r="A240" s="4" t="s">
        <v>599</v>
      </c>
      <c r="B240" s="12" t="s">
        <v>358</v>
      </c>
      <c r="C240" s="12" t="s">
        <v>359</v>
      </c>
      <c r="D240" s="18">
        <v>8</v>
      </c>
      <c r="E240" s="21" t="s">
        <v>360</v>
      </c>
      <c r="F240" s="21"/>
      <c r="G240" s="5" t="s">
        <v>361</v>
      </c>
    </row>
    <row r="241" spans="1:7">
      <c r="A241" s="4" t="s">
        <v>600</v>
      </c>
      <c r="B241" s="12" t="s">
        <v>358</v>
      </c>
      <c r="C241" s="12" t="s">
        <v>359</v>
      </c>
      <c r="D241" s="18">
        <v>0</v>
      </c>
      <c r="E241" s="21" t="s">
        <v>518</v>
      </c>
      <c r="F241" s="21"/>
      <c r="G241" s="5" t="s">
        <v>361</v>
      </c>
    </row>
    <row r="242" spans="1:7">
      <c r="A242" s="4" t="s">
        <v>601</v>
      </c>
      <c r="B242" s="12" t="s">
        <v>358</v>
      </c>
      <c r="C242" s="12" t="s">
        <v>359</v>
      </c>
      <c r="D242" s="18">
        <v>3</v>
      </c>
      <c r="E242" s="21" t="s">
        <v>360</v>
      </c>
      <c r="F242" s="21"/>
      <c r="G242" s="5" t="s">
        <v>361</v>
      </c>
    </row>
    <row r="243" spans="1:7">
      <c r="A243" s="4" t="s">
        <v>213</v>
      </c>
      <c r="B243" s="12" t="s">
        <v>358</v>
      </c>
      <c r="C243" s="12" t="s">
        <v>359</v>
      </c>
      <c r="D243" s="18">
        <v>258</v>
      </c>
      <c r="E243" s="21" t="s">
        <v>360</v>
      </c>
      <c r="F243" s="21"/>
      <c r="G243" s="5" t="s">
        <v>361</v>
      </c>
    </row>
    <row r="244" spans="1:7">
      <c r="A244" s="4" t="s">
        <v>602</v>
      </c>
      <c r="B244" s="12" t="s">
        <v>358</v>
      </c>
      <c r="C244" s="12" t="s">
        <v>359</v>
      </c>
      <c r="D244" s="18">
        <v>0</v>
      </c>
      <c r="E244" s="21" t="s">
        <v>360</v>
      </c>
      <c r="F244" s="21"/>
      <c r="G244" s="5" t="s">
        <v>361</v>
      </c>
    </row>
    <row r="245" spans="1:7">
      <c r="A245" s="4" t="s">
        <v>603</v>
      </c>
      <c r="B245" s="12" t="s">
        <v>358</v>
      </c>
      <c r="C245" s="12" t="s">
        <v>359</v>
      </c>
      <c r="D245" s="18">
        <v>2273</v>
      </c>
      <c r="E245" s="21" t="s">
        <v>360</v>
      </c>
      <c r="F245" s="21"/>
      <c r="G245" s="5" t="s">
        <v>361</v>
      </c>
    </row>
    <row r="246" spans="1:7">
      <c r="A246" s="4" t="s">
        <v>604</v>
      </c>
      <c r="B246" s="12" t="s">
        <v>358</v>
      </c>
      <c r="C246" s="12" t="s">
        <v>359</v>
      </c>
      <c r="D246" s="18">
        <v>0</v>
      </c>
      <c r="E246" s="21" t="s">
        <v>360</v>
      </c>
      <c r="F246" s="21"/>
      <c r="G246" s="5" t="s">
        <v>361</v>
      </c>
    </row>
    <row r="247" spans="1:7">
      <c r="A247" s="4" t="s">
        <v>605</v>
      </c>
      <c r="B247" s="12" t="s">
        <v>358</v>
      </c>
      <c r="C247" s="12" t="s">
        <v>359</v>
      </c>
      <c r="D247" s="18">
        <v>310</v>
      </c>
      <c r="E247" s="21" t="s">
        <v>360</v>
      </c>
      <c r="F247" s="21"/>
      <c r="G247" s="5" t="s">
        <v>361</v>
      </c>
    </row>
    <row r="248" spans="1:7">
      <c r="A248" s="4" t="s">
        <v>606</v>
      </c>
      <c r="B248" s="12" t="s">
        <v>358</v>
      </c>
      <c r="C248" s="12" t="s">
        <v>359</v>
      </c>
      <c r="D248" s="18">
        <v>3</v>
      </c>
      <c r="E248" s="21" t="s">
        <v>360</v>
      </c>
      <c r="F248" s="21"/>
      <c r="G248" s="5" t="s">
        <v>361</v>
      </c>
    </row>
    <row r="249" spans="1:7">
      <c r="A249" s="4" t="s">
        <v>607</v>
      </c>
      <c r="B249" s="12" t="s">
        <v>358</v>
      </c>
      <c r="C249" s="12" t="s">
        <v>359</v>
      </c>
      <c r="D249" s="18">
        <v>8</v>
      </c>
      <c r="E249" s="21" t="s">
        <v>360</v>
      </c>
      <c r="F249" s="21"/>
      <c r="G249" s="5" t="s">
        <v>361</v>
      </c>
    </row>
    <row r="250" spans="1:7">
      <c r="A250" s="4" t="s">
        <v>608</v>
      </c>
      <c r="B250" s="12" t="s">
        <v>358</v>
      </c>
      <c r="C250" s="12" t="s">
        <v>359</v>
      </c>
      <c r="D250" s="18">
        <v>4</v>
      </c>
      <c r="E250" s="21" t="s">
        <v>360</v>
      </c>
      <c r="F250" s="21"/>
      <c r="G250" s="5" t="s">
        <v>361</v>
      </c>
    </row>
    <row r="251" spans="1:7">
      <c r="A251" s="4" t="s">
        <v>609</v>
      </c>
      <c r="B251" s="12" t="s">
        <v>358</v>
      </c>
      <c r="C251" s="12" t="s">
        <v>359</v>
      </c>
      <c r="D251" s="18">
        <v>15</v>
      </c>
      <c r="E251" s="21" t="s">
        <v>360</v>
      </c>
      <c r="F251" s="21"/>
      <c r="G251" s="5" t="s">
        <v>361</v>
      </c>
    </row>
    <row r="252" spans="1:7">
      <c r="A252" s="4" t="s">
        <v>610</v>
      </c>
      <c r="B252" s="12" t="s">
        <v>358</v>
      </c>
      <c r="C252" s="12" t="s">
        <v>359</v>
      </c>
      <c r="D252" s="18">
        <v>0</v>
      </c>
      <c r="E252" s="21" t="s">
        <v>518</v>
      </c>
      <c r="F252" s="21"/>
      <c r="G252" s="5" t="s">
        <v>361</v>
      </c>
    </row>
    <row r="253" spans="1:7">
      <c r="A253" s="4" t="s">
        <v>611</v>
      </c>
      <c r="B253" s="12" t="s">
        <v>358</v>
      </c>
      <c r="C253" s="12" t="s">
        <v>359</v>
      </c>
      <c r="D253" s="18">
        <v>0</v>
      </c>
      <c r="E253" s="21" t="s">
        <v>612</v>
      </c>
      <c r="F253" s="21"/>
      <c r="G253" s="5" t="s">
        <v>361</v>
      </c>
    </row>
    <row r="254" spans="1:7">
      <c r="A254" s="4" t="s">
        <v>613</v>
      </c>
      <c r="B254" s="12" t="s">
        <v>358</v>
      </c>
      <c r="C254" s="12" t="s">
        <v>359</v>
      </c>
      <c r="D254" s="18">
        <v>0</v>
      </c>
      <c r="E254" s="21" t="s">
        <v>360</v>
      </c>
      <c r="F254" s="21"/>
      <c r="G254" s="5" t="s">
        <v>361</v>
      </c>
    </row>
    <row r="255" spans="1:7">
      <c r="A255" s="4" t="s">
        <v>614</v>
      </c>
      <c r="B255" s="12" t="s">
        <v>358</v>
      </c>
      <c r="C255" s="12" t="s">
        <v>359</v>
      </c>
      <c r="D255" s="18">
        <v>0</v>
      </c>
      <c r="E255" s="21" t="s">
        <v>360</v>
      </c>
      <c r="F255" s="21"/>
      <c r="G255" s="5" t="s">
        <v>361</v>
      </c>
    </row>
    <row r="256" spans="1:7">
      <c r="A256" s="4" t="s">
        <v>615</v>
      </c>
      <c r="B256" s="12" t="s">
        <v>358</v>
      </c>
      <c r="C256" s="12" t="s">
        <v>359</v>
      </c>
      <c r="D256" s="18">
        <v>151</v>
      </c>
      <c r="E256" s="21" t="s">
        <v>360</v>
      </c>
      <c r="F256" s="21"/>
      <c r="G256" s="5" t="s">
        <v>361</v>
      </c>
    </row>
    <row r="257" spans="1:7">
      <c r="A257" s="4" t="s">
        <v>202</v>
      </c>
      <c r="B257" s="12" t="s">
        <v>358</v>
      </c>
      <c r="C257" s="12" t="s">
        <v>359</v>
      </c>
      <c r="D257" s="18">
        <v>152</v>
      </c>
      <c r="E257" s="21" t="s">
        <v>360</v>
      </c>
      <c r="F257" s="21"/>
      <c r="G257" s="5" t="s">
        <v>361</v>
      </c>
    </row>
    <row r="258" spans="1:7">
      <c r="A258" s="4" t="s">
        <v>616</v>
      </c>
      <c r="B258" s="12" t="s">
        <v>358</v>
      </c>
      <c r="C258" s="12" t="s">
        <v>359</v>
      </c>
      <c r="D258" s="18">
        <v>7</v>
      </c>
      <c r="E258" s="21" t="s">
        <v>360</v>
      </c>
      <c r="F258" s="21"/>
      <c r="G258" s="5" t="s">
        <v>361</v>
      </c>
    </row>
    <row r="259" spans="1:7">
      <c r="A259" s="4" t="s">
        <v>617</v>
      </c>
      <c r="B259" s="12" t="s">
        <v>358</v>
      </c>
      <c r="C259" s="12" t="s">
        <v>359</v>
      </c>
      <c r="D259" s="18">
        <v>752</v>
      </c>
      <c r="E259" s="21" t="s">
        <v>360</v>
      </c>
      <c r="F259" s="21"/>
      <c r="G259" s="5" t="s">
        <v>361</v>
      </c>
    </row>
    <row r="260" spans="1:7">
      <c r="A260" s="4" t="s">
        <v>618</v>
      </c>
      <c r="B260" s="12" t="s">
        <v>358</v>
      </c>
      <c r="C260" s="12" t="s">
        <v>359</v>
      </c>
      <c r="D260" s="18">
        <v>5</v>
      </c>
      <c r="E260" s="21" t="s">
        <v>360</v>
      </c>
      <c r="F260" s="21"/>
      <c r="G260" s="5" t="s">
        <v>361</v>
      </c>
    </row>
    <row r="261" spans="1:7">
      <c r="A261" s="4" t="s">
        <v>619</v>
      </c>
      <c r="B261" s="12" t="s">
        <v>358</v>
      </c>
      <c r="C261" s="12" t="s">
        <v>359</v>
      </c>
      <c r="D261" s="18">
        <v>0</v>
      </c>
      <c r="E261" s="21" t="s">
        <v>360</v>
      </c>
      <c r="F261" s="21"/>
      <c r="G261" s="5" t="s">
        <v>361</v>
      </c>
    </row>
    <row r="262" spans="1:7">
      <c r="A262" s="4" t="s">
        <v>620</v>
      </c>
      <c r="B262" s="12" t="s">
        <v>358</v>
      </c>
      <c r="C262" s="12" t="s">
        <v>359</v>
      </c>
      <c r="D262" s="18">
        <v>23</v>
      </c>
      <c r="E262" s="21" t="s">
        <v>360</v>
      </c>
      <c r="F262" s="21"/>
      <c r="G262" s="5" t="s">
        <v>361</v>
      </c>
    </row>
    <row r="263" spans="1:7">
      <c r="A263" s="6" t="s">
        <v>621</v>
      </c>
      <c r="B263" s="13" t="s">
        <v>622</v>
      </c>
      <c r="C263" s="13" t="s">
        <v>622</v>
      </c>
      <c r="D263" s="19">
        <v>0</v>
      </c>
      <c r="E263" s="22"/>
      <c r="F263" s="22"/>
      <c r="G263" s="7" t="s">
        <v>361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>
      <selection sqref="A1:E1"/>
    </sheetView>
  </sheetViews>
  <sheetFormatPr defaultRowHeight="14.25"/>
  <cols>
    <col min="1" max="1" width="14" customWidth="1"/>
    <col min="2" max="2" width="26" customWidth="1"/>
    <col min="3" max="3" width="64" customWidth="1"/>
    <col min="4" max="4" width="52" customWidth="1"/>
    <col min="5" max="5" width="40" customWidth="1"/>
  </cols>
  <sheetData>
    <row r="1" spans="1:5" ht="30" customHeight="1">
      <c r="A1" s="23" t="s">
        <v>623</v>
      </c>
      <c r="B1" s="23"/>
      <c r="C1" s="23"/>
      <c r="D1" s="23"/>
      <c r="E1" s="23"/>
    </row>
    <row r="2" spans="1:5" ht="27.95" customHeight="1">
      <c r="A2" s="24" t="s">
        <v>624</v>
      </c>
      <c r="B2" s="24"/>
      <c r="C2" s="24"/>
      <c r="D2" s="24"/>
      <c r="E2" s="24"/>
    </row>
    <row r="4" spans="1:5" ht="33.950000000000003" customHeight="1">
      <c r="A4" s="1" t="s">
        <v>625</v>
      </c>
      <c r="B4" s="1" t="s">
        <v>31</v>
      </c>
      <c r="C4" s="1" t="s">
        <v>626</v>
      </c>
      <c r="D4" s="1" t="s">
        <v>627</v>
      </c>
      <c r="E4" s="1" t="s">
        <v>628</v>
      </c>
    </row>
    <row r="5" spans="1:5" ht="42.75">
      <c r="A5" s="2" t="s">
        <v>629</v>
      </c>
      <c r="B5" s="11" t="s">
        <v>630</v>
      </c>
      <c r="C5" s="11" t="s">
        <v>631</v>
      </c>
      <c r="D5" s="11" t="s">
        <v>632</v>
      </c>
      <c r="E5" s="3" t="s">
        <v>633</v>
      </c>
    </row>
    <row r="6" spans="1:5" ht="42.75">
      <c r="A6" s="4" t="s">
        <v>629</v>
      </c>
      <c r="B6" s="12" t="s">
        <v>634</v>
      </c>
      <c r="C6" s="12" t="s">
        <v>635</v>
      </c>
      <c r="D6" s="12" t="s">
        <v>636</v>
      </c>
      <c r="E6" s="5" t="s">
        <v>637</v>
      </c>
    </row>
    <row r="7" spans="1:5" ht="28.5">
      <c r="A7" s="4" t="s">
        <v>638</v>
      </c>
      <c r="B7" s="12" t="s">
        <v>639</v>
      </c>
      <c r="C7" s="12" t="s">
        <v>640</v>
      </c>
      <c r="D7" s="12" t="s">
        <v>641</v>
      </c>
      <c r="E7" s="5" t="s">
        <v>642</v>
      </c>
    </row>
    <row r="8" spans="1:5" ht="28.5">
      <c r="A8" s="4" t="s">
        <v>638</v>
      </c>
      <c r="B8" s="12" t="s">
        <v>643</v>
      </c>
      <c r="C8" s="12" t="s">
        <v>644</v>
      </c>
      <c r="D8" s="12" t="s">
        <v>645</v>
      </c>
      <c r="E8" s="5" t="s">
        <v>345</v>
      </c>
    </row>
    <row r="9" spans="1:5" ht="28.5">
      <c r="A9" s="4" t="s">
        <v>638</v>
      </c>
      <c r="B9" s="12" t="s">
        <v>646</v>
      </c>
      <c r="C9" s="12" t="s">
        <v>647</v>
      </c>
      <c r="D9" s="12" t="s">
        <v>648</v>
      </c>
      <c r="E9" s="5" t="s">
        <v>649</v>
      </c>
    </row>
    <row r="10" spans="1:5" ht="28.5">
      <c r="A10" s="4" t="s">
        <v>638</v>
      </c>
      <c r="B10" s="12" t="s">
        <v>650</v>
      </c>
      <c r="C10" s="12" t="s">
        <v>651</v>
      </c>
      <c r="D10" s="12" t="s">
        <v>652</v>
      </c>
      <c r="E10" s="5" t="s">
        <v>298</v>
      </c>
    </row>
    <row r="11" spans="1:5" ht="28.5">
      <c r="A11" s="6" t="s">
        <v>653</v>
      </c>
      <c r="B11" s="13" t="s">
        <v>654</v>
      </c>
      <c r="C11" s="13" t="s">
        <v>655</v>
      </c>
      <c r="D11" s="13" t="s">
        <v>656</v>
      </c>
      <c r="E11" s="7" t="s">
        <v>657</v>
      </c>
    </row>
  </sheetData>
  <mergeCells count="2">
    <mergeCell ref="A1:E1"/>
    <mergeCell ref="A2:E2"/>
  </mergeCells>
  <conditionalFormatting sqref="A5:A11">
    <cfRule type="containsText" dxfId="2" priority="1" operator="containsText" text="High"/>
    <cfRule type="containsText" dxfId="1" priority="2" operator="containsText" text="Medium"/>
    <cfRule type="containsText" dxfId="0" priority="3" operator="containsText" text="Low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>
      <selection sqref="A1:C1"/>
    </sheetView>
  </sheetViews>
  <sheetFormatPr defaultRowHeight="14.25"/>
  <cols>
    <col min="1" max="1" width="24" customWidth="1"/>
    <col min="2" max="2" width="60" customWidth="1"/>
    <col min="3" max="3" width="72" customWidth="1"/>
  </cols>
  <sheetData>
    <row r="1" spans="1:3" ht="30" customHeight="1">
      <c r="A1" s="23" t="s">
        <v>658</v>
      </c>
      <c r="B1" s="23"/>
      <c r="C1" s="23"/>
    </row>
    <row r="2" spans="1:3" ht="27.95" customHeight="1">
      <c r="A2" s="24" t="s">
        <v>659</v>
      </c>
      <c r="B2" s="24"/>
      <c r="C2" s="24"/>
    </row>
    <row r="4" spans="1:3" ht="33.950000000000003" customHeight="1">
      <c r="A4" s="1" t="s">
        <v>660</v>
      </c>
      <c r="B4" s="1" t="s">
        <v>661</v>
      </c>
      <c r="C4" s="1" t="s">
        <v>662</v>
      </c>
    </row>
    <row r="5" spans="1:3">
      <c r="A5" s="2" t="s">
        <v>663</v>
      </c>
      <c r="B5" s="11" t="s">
        <v>664</v>
      </c>
      <c r="C5" s="3" t="s">
        <v>665</v>
      </c>
    </row>
    <row r="6" spans="1:3" ht="28.5">
      <c r="A6" s="4" t="s">
        <v>666</v>
      </c>
      <c r="B6" s="12" t="s">
        <v>667</v>
      </c>
      <c r="C6" s="5" t="s">
        <v>668</v>
      </c>
    </row>
    <row r="7" spans="1:3">
      <c r="A7" s="4" t="s">
        <v>669</v>
      </c>
      <c r="B7" s="12" t="s">
        <v>670</v>
      </c>
      <c r="C7" s="5" t="s">
        <v>671</v>
      </c>
    </row>
    <row r="8" spans="1:3">
      <c r="A8" s="4" t="s">
        <v>672</v>
      </c>
      <c r="B8" s="12" t="s">
        <v>673</v>
      </c>
      <c r="C8" s="5" t="s">
        <v>674</v>
      </c>
    </row>
    <row r="9" spans="1:3">
      <c r="A9" s="4" t="s">
        <v>675</v>
      </c>
      <c r="B9" s="12" t="s">
        <v>676</v>
      </c>
      <c r="C9" s="5" t="s">
        <v>677</v>
      </c>
    </row>
    <row r="10" spans="1:3" ht="28.5">
      <c r="A10" s="4" t="s">
        <v>678</v>
      </c>
      <c r="B10" s="12" t="s">
        <v>679</v>
      </c>
      <c r="C10" s="5" t="s">
        <v>680</v>
      </c>
    </row>
    <row r="11" spans="1:3">
      <c r="A11" s="4" t="s">
        <v>681</v>
      </c>
      <c r="B11" s="12" t="s">
        <v>682</v>
      </c>
      <c r="C11" s="5" t="s">
        <v>683</v>
      </c>
    </row>
    <row r="12" spans="1:3">
      <c r="A12" s="4" t="s">
        <v>684</v>
      </c>
      <c r="B12" s="12" t="s">
        <v>685</v>
      </c>
      <c r="C12" s="5" t="s">
        <v>686</v>
      </c>
    </row>
    <row r="13" spans="1:3" ht="28.5">
      <c r="A13" s="6" t="s">
        <v>687</v>
      </c>
      <c r="B13" s="13" t="s">
        <v>688</v>
      </c>
      <c r="C13" s="7" t="s">
        <v>689</v>
      </c>
    </row>
    <row r="16" spans="1:3" ht="15">
      <c r="A16" s="25" t="s">
        <v>690</v>
      </c>
      <c r="B16" s="25"/>
      <c r="C16" s="25"/>
    </row>
    <row r="17" spans="1:3">
      <c r="A17" s="2" t="s">
        <v>691</v>
      </c>
      <c r="B17" s="11" t="s">
        <v>692</v>
      </c>
      <c r="C17" s="3" t="s">
        <v>693</v>
      </c>
    </row>
    <row r="18" spans="1:3">
      <c r="A18" s="4" t="s">
        <v>694</v>
      </c>
      <c r="B18" s="12" t="s">
        <v>695</v>
      </c>
      <c r="C18" s="5" t="s">
        <v>696</v>
      </c>
    </row>
    <row r="19" spans="1:3">
      <c r="A19" s="4" t="s">
        <v>697</v>
      </c>
      <c r="B19" s="12" t="s">
        <v>698</v>
      </c>
      <c r="C19" s="5" t="s">
        <v>699</v>
      </c>
    </row>
    <row r="20" spans="1:3">
      <c r="A20" s="6" t="s">
        <v>700</v>
      </c>
      <c r="B20" s="13" t="s">
        <v>633</v>
      </c>
      <c r="C20" s="7" t="s">
        <v>701</v>
      </c>
    </row>
  </sheetData>
  <mergeCells count="3">
    <mergeCell ref="A1:C1"/>
    <mergeCell ref="A2:C2"/>
    <mergeCell ref="A16:C1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Modul Sistem</vt:lpstr>
      <vt:lpstr>Data Start-End</vt:lpstr>
      <vt:lpstr>Database Summary</vt:lpstr>
      <vt:lpstr>Database Tables</vt:lpstr>
      <vt:lpstr>Temuan Risiko</vt:lpstr>
      <vt:lpstr>Metodologi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 Malik Ibrahim</cp:lastModifiedBy>
  <dcterms:modified xsi:type="dcterms:W3CDTF">2026-07-24T07:42:06Z</dcterms:modified>
</cp:coreProperties>
</file>