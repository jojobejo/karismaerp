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NG PRAYOGA\Downloads\"/>
    </mc:Choice>
  </mc:AlternateContent>
  <xr:revisionPtr revIDLastSave="0" documentId="8_{E3ECFEFB-B873-454F-A7E1-D73F1721DD63}" xr6:coauthVersionLast="47" xr6:coauthVersionMax="47" xr10:uidLastSave="{00000000-0000-0000-0000-000000000000}"/>
  <bookViews>
    <workbookView xWindow="-108" yWindow="-108" windowWidth="23256" windowHeight="12456" xr2:uid="{44CB9BAA-2760-4EEA-913D-E775E03F78A7}"/>
  </bookViews>
  <sheets>
    <sheet name="Sheet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6" i="1" l="1"/>
  <c r="Y66" i="1" s="1"/>
  <c r="AA66" i="1" s="1"/>
  <c r="Q66" i="1"/>
  <c r="U66" i="1" s="1"/>
  <c r="V66" i="1" s="1"/>
  <c r="X66" i="1" s="1"/>
  <c r="Y65" i="1"/>
  <c r="AA65" i="1" s="1"/>
  <c r="U65" i="1"/>
  <c r="V65" i="1" s="1"/>
  <c r="X65" i="1" s="1"/>
  <c r="R65" i="1"/>
  <c r="Q65" i="1"/>
  <c r="R64" i="1"/>
  <c r="Y64" i="1" s="1"/>
  <c r="AA64" i="1" s="1"/>
  <c r="Q64" i="1"/>
  <c r="U64" i="1" s="1"/>
  <c r="V64" i="1" s="1"/>
  <c r="X64" i="1" s="1"/>
  <c r="AA63" i="1"/>
  <c r="Y63" i="1"/>
  <c r="R63" i="1"/>
  <c r="Q63" i="1"/>
  <c r="U63" i="1" s="1"/>
  <c r="V63" i="1" s="1"/>
  <c r="X63" i="1" s="1"/>
  <c r="R62" i="1"/>
  <c r="Y62" i="1" s="1"/>
  <c r="AA62" i="1" s="1"/>
  <c r="R61" i="1"/>
  <c r="Y61" i="1" s="1"/>
  <c r="AA61" i="1" s="1"/>
  <c r="R60" i="1"/>
  <c r="Q60" i="1" s="1"/>
  <c r="U60" i="1" s="1"/>
  <c r="V60" i="1" s="1"/>
  <c r="X60" i="1" s="1"/>
  <c r="R59" i="1"/>
  <c r="Y59" i="1" s="1"/>
  <c r="AA59" i="1" s="1"/>
  <c r="Q59" i="1"/>
  <c r="U59" i="1" s="1"/>
  <c r="V59" i="1" s="1"/>
  <c r="X59" i="1" s="1"/>
  <c r="Y58" i="1"/>
  <c r="AA58" i="1" s="1"/>
  <c r="R58" i="1"/>
  <c r="Q58" i="1" s="1"/>
  <c r="U58" i="1" s="1"/>
  <c r="V58" i="1" s="1"/>
  <c r="X58" i="1" s="1"/>
  <c r="R57" i="1"/>
  <c r="Y57" i="1" s="1"/>
  <c r="AA57" i="1" s="1"/>
  <c r="Q57" i="1"/>
  <c r="U57" i="1" s="1"/>
  <c r="V57" i="1" s="1"/>
  <c r="X57" i="1" s="1"/>
  <c r="Y56" i="1"/>
  <c r="AA56" i="1" s="1"/>
  <c r="R56" i="1"/>
  <c r="Q56" i="1"/>
  <c r="U56" i="1" s="1"/>
  <c r="V56" i="1" s="1"/>
  <c r="X56" i="1" s="1"/>
  <c r="R55" i="1"/>
  <c r="Y55" i="1" s="1"/>
  <c r="AA55" i="1" s="1"/>
  <c r="Q55" i="1"/>
  <c r="U55" i="1" s="1"/>
  <c r="V55" i="1" s="1"/>
  <c r="X55" i="1" s="1"/>
  <c r="Y54" i="1"/>
  <c r="AA54" i="1" s="1"/>
  <c r="U54" i="1"/>
  <c r="V54" i="1" s="1"/>
  <c r="X54" i="1" s="1"/>
  <c r="R54" i="1"/>
  <c r="Q54" i="1"/>
  <c r="Y53" i="1"/>
  <c r="AA53" i="1" s="1"/>
  <c r="U53" i="1"/>
  <c r="V53" i="1" s="1"/>
  <c r="X53" i="1" s="1"/>
  <c r="R53" i="1"/>
  <c r="Q53" i="1"/>
  <c r="R52" i="1"/>
  <c r="Y52" i="1" s="1"/>
  <c r="AA52" i="1" s="1"/>
  <c r="Q52" i="1"/>
  <c r="U52" i="1" s="1"/>
  <c r="V52" i="1" s="1"/>
  <c r="X52" i="1" s="1"/>
  <c r="AA51" i="1"/>
  <c r="Y51" i="1"/>
  <c r="R51" i="1"/>
  <c r="Q51" i="1"/>
  <c r="U51" i="1" s="1"/>
  <c r="V51" i="1" s="1"/>
  <c r="X51" i="1" s="1"/>
  <c r="R50" i="1"/>
  <c r="Y50" i="1" s="1"/>
  <c r="AA50" i="1" s="1"/>
  <c r="R49" i="1"/>
  <c r="Y49" i="1" s="1"/>
  <c r="AA49" i="1" s="1"/>
  <c r="R48" i="1"/>
  <c r="Q48" i="1" s="1"/>
  <c r="U48" i="1" s="1"/>
  <c r="V48" i="1" s="1"/>
  <c r="X48" i="1" s="1"/>
  <c r="R47" i="1"/>
  <c r="Y47" i="1" s="1"/>
  <c r="AA47" i="1" s="1"/>
  <c r="Q47" i="1"/>
  <c r="U47" i="1" s="1"/>
  <c r="V47" i="1" s="1"/>
  <c r="X47" i="1" s="1"/>
  <c r="Y46" i="1"/>
  <c r="AA46" i="1" s="1"/>
  <c r="R46" i="1"/>
  <c r="Q46" i="1" s="1"/>
  <c r="U46" i="1" s="1"/>
  <c r="V46" i="1" s="1"/>
  <c r="X46" i="1" s="1"/>
  <c r="R45" i="1"/>
  <c r="Y45" i="1" s="1"/>
  <c r="AA45" i="1" s="1"/>
  <c r="Q45" i="1"/>
  <c r="U45" i="1" s="1"/>
  <c r="V45" i="1" s="1"/>
  <c r="X45" i="1" s="1"/>
  <c r="Y44" i="1"/>
  <c r="AA44" i="1" s="1"/>
  <c r="R44" i="1"/>
  <c r="Q44" i="1"/>
  <c r="U44" i="1" s="1"/>
  <c r="V44" i="1" s="1"/>
  <c r="X44" i="1" s="1"/>
  <c r="R43" i="1"/>
  <c r="Y43" i="1" s="1"/>
  <c r="AA43" i="1" s="1"/>
  <c r="Q43" i="1"/>
  <c r="U43" i="1" s="1"/>
  <c r="V43" i="1" s="1"/>
  <c r="X43" i="1" s="1"/>
  <c r="Y42" i="1"/>
  <c r="AA42" i="1" s="1"/>
  <c r="U42" i="1"/>
  <c r="V42" i="1" s="1"/>
  <c r="X42" i="1" s="1"/>
  <c r="R42" i="1"/>
  <c r="Q42" i="1"/>
  <c r="Y41" i="1"/>
  <c r="AA41" i="1" s="1"/>
  <c r="U41" i="1"/>
  <c r="V41" i="1" s="1"/>
  <c r="X41" i="1" s="1"/>
  <c r="R41" i="1"/>
  <c r="Q41" i="1"/>
  <c r="R40" i="1"/>
  <c r="Y40" i="1" s="1"/>
  <c r="AA40" i="1" s="1"/>
  <c r="Q40" i="1"/>
  <c r="U40" i="1" s="1"/>
  <c r="V40" i="1" s="1"/>
  <c r="X40" i="1" s="1"/>
  <c r="AA39" i="1"/>
  <c r="Y39" i="1"/>
  <c r="U39" i="1"/>
  <c r="V39" i="1" s="1"/>
  <c r="X39" i="1" s="1"/>
  <c r="R39" i="1"/>
  <c r="Q39" i="1"/>
  <c r="R38" i="1"/>
  <c r="Y38" i="1" s="1"/>
  <c r="AA38" i="1" s="1"/>
  <c r="R37" i="1"/>
  <c r="Y37" i="1" s="1"/>
  <c r="AA37" i="1" s="1"/>
  <c r="R36" i="1"/>
  <c r="Q36" i="1" s="1"/>
  <c r="U36" i="1" s="1"/>
  <c r="V36" i="1" s="1"/>
  <c r="X36" i="1" s="1"/>
  <c r="R35" i="1"/>
  <c r="Y35" i="1" s="1"/>
  <c r="AA35" i="1" s="1"/>
  <c r="Q35" i="1"/>
  <c r="U35" i="1" s="1"/>
  <c r="V35" i="1" s="1"/>
  <c r="X35" i="1" s="1"/>
  <c r="Y34" i="1"/>
  <c r="AA34" i="1" s="1"/>
  <c r="R34" i="1"/>
  <c r="Q34" i="1" s="1"/>
  <c r="U34" i="1" s="1"/>
  <c r="V34" i="1" s="1"/>
  <c r="X34" i="1" s="1"/>
  <c r="R33" i="1"/>
  <c r="Y33" i="1" s="1"/>
  <c r="AA33" i="1" s="1"/>
  <c r="Q33" i="1"/>
  <c r="U33" i="1" s="1"/>
  <c r="V33" i="1" s="1"/>
  <c r="X33" i="1" s="1"/>
  <c r="Y32" i="1"/>
  <c r="AA32" i="1" s="1"/>
  <c r="R32" i="1"/>
  <c r="Q32" i="1"/>
  <c r="U32" i="1" s="1"/>
  <c r="V32" i="1" s="1"/>
  <c r="X32" i="1" s="1"/>
  <c r="R31" i="1"/>
  <c r="Y31" i="1" s="1"/>
  <c r="AA31" i="1" s="1"/>
  <c r="Q31" i="1"/>
  <c r="U31" i="1" s="1"/>
  <c r="V31" i="1" s="1"/>
  <c r="X31" i="1" s="1"/>
  <c r="Y30" i="1"/>
  <c r="AA30" i="1" s="1"/>
  <c r="U30" i="1"/>
  <c r="V30" i="1" s="1"/>
  <c r="X30" i="1" s="1"/>
  <c r="R30" i="1"/>
  <c r="Q30" i="1"/>
  <c r="Y29" i="1"/>
  <c r="AA29" i="1" s="1"/>
  <c r="U29" i="1"/>
  <c r="V29" i="1" s="1"/>
  <c r="X29" i="1" s="1"/>
  <c r="R29" i="1"/>
  <c r="Q29" i="1"/>
  <c r="R28" i="1"/>
  <c r="Y28" i="1" s="1"/>
  <c r="AA28" i="1" s="1"/>
  <c r="Q28" i="1"/>
  <c r="U28" i="1" s="1"/>
  <c r="V28" i="1" s="1"/>
  <c r="X28" i="1" s="1"/>
  <c r="AA27" i="1"/>
  <c r="Y27" i="1"/>
  <c r="U27" i="1"/>
  <c r="V27" i="1" s="1"/>
  <c r="X27" i="1" s="1"/>
  <c r="R27" i="1"/>
  <c r="Q27" i="1"/>
  <c r="R26" i="1"/>
  <c r="Y26" i="1" s="1"/>
  <c r="AA26" i="1" s="1"/>
  <c r="R25" i="1"/>
  <c r="Y25" i="1" s="1"/>
  <c r="AA25" i="1" s="1"/>
  <c r="R24" i="1"/>
  <c r="Q24" i="1" s="1"/>
  <c r="U24" i="1" s="1"/>
  <c r="V24" i="1" s="1"/>
  <c r="X24" i="1" s="1"/>
  <c r="Y23" i="1"/>
  <c r="AA23" i="1" s="1"/>
  <c r="R23" i="1"/>
  <c r="Q23" i="1"/>
  <c r="U23" i="1" s="1"/>
  <c r="V23" i="1" s="1"/>
  <c r="X23" i="1" s="1"/>
  <c r="Y22" i="1"/>
  <c r="AA22" i="1" s="1"/>
  <c r="R22" i="1"/>
  <c r="Q22" i="1"/>
  <c r="U22" i="1" s="1"/>
  <c r="V22" i="1" s="1"/>
  <c r="X22" i="1" s="1"/>
  <c r="R21" i="1"/>
  <c r="Y21" i="1" s="1"/>
  <c r="AA21" i="1" s="1"/>
  <c r="Q21" i="1"/>
  <c r="U21" i="1" s="1"/>
  <c r="V21" i="1" s="1"/>
  <c r="X21" i="1" s="1"/>
  <c r="Y20" i="1"/>
  <c r="AA20" i="1" s="1"/>
  <c r="R20" i="1"/>
  <c r="Q20" i="1"/>
  <c r="U20" i="1" s="1"/>
  <c r="V20" i="1" s="1"/>
  <c r="X20" i="1" s="1"/>
  <c r="R19" i="1"/>
  <c r="Y19" i="1" s="1"/>
  <c r="AA19" i="1" s="1"/>
  <c r="Q19" i="1"/>
  <c r="U19" i="1" s="1"/>
  <c r="V19" i="1" s="1"/>
  <c r="X19" i="1" s="1"/>
  <c r="Y18" i="1"/>
  <c r="AA18" i="1" s="1"/>
  <c r="U18" i="1"/>
  <c r="V18" i="1" s="1"/>
  <c r="X18" i="1" s="1"/>
  <c r="R18" i="1"/>
  <c r="Q18" i="1"/>
  <c r="Y17" i="1"/>
  <c r="AA17" i="1" s="1"/>
  <c r="U17" i="1"/>
  <c r="V17" i="1" s="1"/>
  <c r="X17" i="1" s="1"/>
  <c r="R17" i="1"/>
  <c r="Q17" i="1"/>
  <c r="R16" i="1"/>
  <c r="Y16" i="1" s="1"/>
  <c r="AA16" i="1" s="1"/>
  <c r="Q16" i="1"/>
  <c r="U16" i="1" s="1"/>
  <c r="V16" i="1" s="1"/>
  <c r="X16" i="1" s="1"/>
  <c r="AA15" i="1"/>
  <c r="Y15" i="1"/>
  <c r="R15" i="1"/>
  <c r="Q15" i="1" s="1"/>
  <c r="U15" i="1" s="1"/>
  <c r="V15" i="1" s="1"/>
  <c r="X15" i="1" s="1"/>
  <c r="R14" i="1"/>
  <c r="Y14" i="1" s="1"/>
  <c r="AA14" i="1" s="1"/>
  <c r="R13" i="1"/>
  <c r="Y13" i="1" s="1"/>
  <c r="AA13" i="1" s="1"/>
  <c r="R12" i="1"/>
  <c r="Q12" i="1" s="1"/>
  <c r="U12" i="1" s="1"/>
  <c r="V12" i="1" s="1"/>
  <c r="X12" i="1" s="1"/>
  <c r="Y11" i="1"/>
  <c r="AA11" i="1" s="1"/>
  <c r="R11" i="1"/>
  <c r="Q11" i="1"/>
  <c r="U11" i="1" s="1"/>
  <c r="V11" i="1" s="1"/>
  <c r="X11" i="1" s="1"/>
  <c r="Y10" i="1"/>
  <c r="AA10" i="1" s="1"/>
  <c r="R10" i="1"/>
  <c r="Q10" i="1"/>
  <c r="U10" i="1" s="1"/>
  <c r="V10" i="1" s="1"/>
  <c r="X10" i="1" s="1"/>
  <c r="R9" i="1"/>
  <c r="Y9" i="1" s="1"/>
  <c r="AA9" i="1" s="1"/>
  <c r="Q9" i="1"/>
  <c r="U9" i="1" s="1"/>
  <c r="V9" i="1" s="1"/>
  <c r="X9" i="1" s="1"/>
  <c r="Y8" i="1"/>
  <c r="AA8" i="1" s="1"/>
  <c r="R8" i="1"/>
  <c r="Q8" i="1"/>
  <c r="U8" i="1" s="1"/>
  <c r="V8" i="1" s="1"/>
  <c r="X8" i="1" s="1"/>
  <c r="U6" i="1"/>
  <c r="V6" i="1" s="1"/>
  <c r="X6" i="1" s="1"/>
  <c r="R6" i="1"/>
  <c r="Y6" i="1" s="1"/>
  <c r="AA6" i="1" s="1"/>
  <c r="O6" i="1"/>
  <c r="M6" i="1"/>
  <c r="L6" i="1"/>
  <c r="K6" i="1"/>
  <c r="J6" i="1"/>
  <c r="I6" i="1"/>
  <c r="H6" i="1"/>
  <c r="G6" i="1"/>
  <c r="Q3" i="1"/>
  <c r="S6" i="1" l="1"/>
  <c r="Q14" i="1"/>
  <c r="U14" i="1" s="1"/>
  <c r="V14" i="1" s="1"/>
  <c r="X14" i="1" s="1"/>
  <c r="Q26" i="1"/>
  <c r="U26" i="1" s="1"/>
  <c r="V26" i="1" s="1"/>
  <c r="X26" i="1" s="1"/>
  <c r="Q38" i="1"/>
  <c r="U38" i="1" s="1"/>
  <c r="V38" i="1" s="1"/>
  <c r="X38" i="1" s="1"/>
  <c r="Q50" i="1"/>
  <c r="U50" i="1" s="1"/>
  <c r="V50" i="1" s="1"/>
  <c r="X50" i="1" s="1"/>
  <c r="Q62" i="1"/>
  <c r="U62" i="1" s="1"/>
  <c r="V62" i="1" s="1"/>
  <c r="X62" i="1" s="1"/>
  <c r="Y12" i="1"/>
  <c r="AA12" i="1" s="1"/>
  <c r="Y24" i="1"/>
  <c r="AA24" i="1" s="1"/>
  <c r="Y36" i="1"/>
  <c r="AA36" i="1" s="1"/>
  <c r="Y48" i="1"/>
  <c r="AA48" i="1" s="1"/>
  <c r="Y60" i="1"/>
  <c r="AA60" i="1" s="1"/>
  <c r="Q13" i="1"/>
  <c r="U13" i="1" s="1"/>
  <c r="V13" i="1" s="1"/>
  <c r="X13" i="1" s="1"/>
  <c r="Q25" i="1"/>
  <c r="U25" i="1" s="1"/>
  <c r="V25" i="1" s="1"/>
  <c r="X25" i="1" s="1"/>
  <c r="Q37" i="1"/>
  <c r="U37" i="1" s="1"/>
  <c r="V37" i="1" s="1"/>
  <c r="X37" i="1" s="1"/>
  <c r="Q49" i="1"/>
  <c r="U49" i="1" s="1"/>
  <c r="V49" i="1" s="1"/>
  <c r="X49" i="1" s="1"/>
  <c r="Q61" i="1"/>
  <c r="U61" i="1" s="1"/>
  <c r="V61" i="1" s="1"/>
  <c r="X61" i="1" s="1"/>
</calcChain>
</file>

<file path=xl/sharedStrings.xml><?xml version="1.0" encoding="utf-8"?>
<sst xmlns="http://schemas.openxmlformats.org/spreadsheetml/2006/main" count="799" uniqueCount="319">
  <si>
    <t>Laporan Penjualan Harian</t>
  </si>
  <si>
    <t>PT. Karisma Indoagro Universal</t>
  </si>
  <si>
    <t>Periode 01 Agustus 2026 - 31 Agustus 2026</t>
  </si>
  <si>
    <t>( Untuk Nota T tidak lapor pajak, ganti nama acak langsung di Nota I, penjualan diinfo ) Acc bu Diana 06/11/2022</t>
  </si>
  <si>
    <t>Jangan Dicopy lg</t>
  </si>
  <si>
    <t>No.</t>
  </si>
  <si>
    <t>Tanggal</t>
  </si>
  <si>
    <t>F.Acak</t>
  </si>
  <si>
    <t>Faktur Z</t>
  </si>
  <si>
    <t>Sales</t>
  </si>
  <si>
    <t>Kode</t>
  </si>
  <si>
    <t>Nama Customer</t>
  </si>
  <si>
    <t>Kontak Person</t>
  </si>
  <si>
    <t>Alamat</t>
  </si>
  <si>
    <t>Kota</t>
  </si>
  <si>
    <t>NIK</t>
  </si>
  <si>
    <t>NPWP</t>
  </si>
  <si>
    <t>Jenis</t>
  </si>
  <si>
    <t>Nama Barang</t>
  </si>
  <si>
    <t>Qty</t>
  </si>
  <si>
    <t>Harga Jual</t>
  </si>
  <si>
    <t>Harga Inc PPN</t>
  </si>
  <si>
    <t>Harga Normal</t>
  </si>
  <si>
    <t>Disc</t>
  </si>
  <si>
    <t>Jumlah Harga Jual</t>
  </si>
  <si>
    <t>DPP Nilai Lain</t>
  </si>
  <si>
    <t>Pajak %</t>
  </si>
  <si>
    <t>Pajak ( Rp )</t>
  </si>
  <si>
    <t>Penj Icn PPN</t>
  </si>
  <si>
    <t>Per Faktur</t>
  </si>
  <si>
    <t>keterangan</t>
  </si>
  <si>
    <t>H26005241</t>
  </si>
  <si>
    <t>Z26002142</t>
  </si>
  <si>
    <t>Yuyun</t>
  </si>
  <si>
    <t>MERD03AC</t>
  </si>
  <si>
    <t>Merdeka Tani/Sugiono</t>
  </si>
  <si>
    <t>Samiran</t>
  </si>
  <si>
    <t>Dsn. Gumuk Limo, RT.015/RW.015, Kel. Nogosari, Kec. Rambipuji</t>
  </si>
  <si>
    <t>Jember</t>
  </si>
  <si>
    <t>3509130107500443</t>
  </si>
  <si>
    <t>000000000000000</t>
  </si>
  <si>
    <t>Benih Horti</t>
  </si>
  <si>
    <t>QTIMU04</t>
  </si>
  <si>
    <t>Timun Renes F1 12 X 15 X 10 gr*</t>
  </si>
  <si>
    <t>QTIMU29</t>
  </si>
  <si>
    <t>Timun Semi F1 12 X 10 X 20 gr*</t>
  </si>
  <si>
    <t>H26005242</t>
  </si>
  <si>
    <t>Z26002144</t>
  </si>
  <si>
    <t>Faris</t>
  </si>
  <si>
    <t>IKHL08AC</t>
  </si>
  <si>
    <t>Ikhlas Tani, UD</t>
  </si>
  <si>
    <t>M. Nasir</t>
  </si>
  <si>
    <t>Pelah, Kel. Mareje Timur, Kec. Lembar</t>
  </si>
  <si>
    <t>Lombok Barat</t>
  </si>
  <si>
    <t>5201132512820001</t>
  </si>
  <si>
    <t>Benih Jagung</t>
  </si>
  <si>
    <t>QJAGU29</t>
  </si>
  <si>
    <t>Jagung NK 7328 20 X 1 kg</t>
  </si>
  <si>
    <t>H26005243</t>
  </si>
  <si>
    <t>Z26002150</t>
  </si>
  <si>
    <t>ENGG01AC</t>
  </si>
  <si>
    <t>Damar Batur Nusantara</t>
  </si>
  <si>
    <t>Jundatul Masfufah</t>
  </si>
  <si>
    <t>Dusun Krajan I, RT.001/RW.024, Kel. Kasiyan Timur, Kec. Puger</t>
  </si>
  <si>
    <t>3509086807000001</t>
  </si>
  <si>
    <t>QJAGU94</t>
  </si>
  <si>
    <t>Jagung NK 7328 BTGT 20 X 1 kg</t>
  </si>
  <si>
    <t>H26005244</t>
  </si>
  <si>
    <t>Z26002145</t>
  </si>
  <si>
    <t>MERD05AC</t>
  </si>
  <si>
    <t>Sukarman</t>
  </si>
  <si>
    <t>3509132709600002</t>
  </si>
  <si>
    <t>Pestisida</t>
  </si>
  <si>
    <t>QABAC01</t>
  </si>
  <si>
    <t>Abacel 18 EC 10 X 1 ltr</t>
  </si>
  <si>
    <t>QABAC03</t>
  </si>
  <si>
    <t>Abacel 18 EC 20 X 500 ml</t>
  </si>
  <si>
    <t>QABAC04</t>
  </si>
  <si>
    <t>Abacel 18 EC 40 X 250 ml</t>
  </si>
  <si>
    <t>B26010450</t>
  </si>
  <si>
    <t>Cepi BCA</t>
  </si>
  <si>
    <t>QSAGR05</t>
  </si>
  <si>
    <t>Sagri-Meth 77 SP 100 X 100 gr*</t>
  </si>
  <si>
    <t>H26005245</t>
  </si>
  <si>
    <t>ENGG02AC</t>
  </si>
  <si>
    <t>Satria Bagus Saputra</t>
  </si>
  <si>
    <t>Dusun Purwosari, RT.001/RW.007, Kel. Tanjungsari, Kec. Umbulsari</t>
  </si>
  <si>
    <t>3509051805040003</t>
  </si>
  <si>
    <t>H26005246</t>
  </si>
  <si>
    <t>IKHL10AC</t>
  </si>
  <si>
    <t>Siti Wardiah</t>
  </si>
  <si>
    <t>Dusun Batu Mulya, RT.002/RW.000, Kel. Gapuk, Kec. Gerung</t>
  </si>
  <si>
    <t>5201014107920387</t>
  </si>
  <si>
    <t>H26005247</t>
  </si>
  <si>
    <t>Z26002147</t>
  </si>
  <si>
    <t>Zakia</t>
  </si>
  <si>
    <t>ATH08AC</t>
  </si>
  <si>
    <t>Anugrah Tani/Heru</t>
  </si>
  <si>
    <t>Sudarji</t>
  </si>
  <si>
    <t>Dsn. Secang RT.006/RW.002, Kel. Pojok, Kec. Campurdarat</t>
  </si>
  <si>
    <t>Tulungagung</t>
  </si>
  <si>
    <t>3504163003650002</t>
  </si>
  <si>
    <t>Pupuk</t>
  </si>
  <si>
    <t>QNPKN07</t>
  </si>
  <si>
    <t>NPK Novatec 12-12-17 5 X 5 kg*</t>
  </si>
  <si>
    <t>QMUTU01</t>
  </si>
  <si>
    <t>Mutual 25/25 WP 100 X 100 gr*</t>
  </si>
  <si>
    <t>H26005248</t>
  </si>
  <si>
    <t>ENGG03AC</t>
  </si>
  <si>
    <t>Dani Hermansyah</t>
  </si>
  <si>
    <t>Dusun Krangkongan, RT.003/RW.014, Kel. Tegalwangi, Kec. Umbulsari</t>
  </si>
  <si>
    <t>3509051202020004</t>
  </si>
  <si>
    <t>H26005249</t>
  </si>
  <si>
    <t>IKHL11AC</t>
  </si>
  <si>
    <t>Hajah Patimah</t>
  </si>
  <si>
    <t>Batu Mulik Dusun Batu Mulik, RT.013/RW.000, Kel. Gapuk, Kec. Gerung</t>
  </si>
  <si>
    <t>5201014107520022</t>
  </si>
  <si>
    <t>H26005250</t>
  </si>
  <si>
    <t>Z26002149</t>
  </si>
  <si>
    <t>SEDE04AC</t>
  </si>
  <si>
    <t>Sederhana Tani</t>
  </si>
  <si>
    <t>H. Marzuki</t>
  </si>
  <si>
    <t>Penyinggir RT.000/RW.000, Kel. Sikur Barat, Kec. Sikur</t>
  </si>
  <si>
    <t>Lombok Timur</t>
  </si>
  <si>
    <t>5203043112630032</t>
  </si>
  <si>
    <t>H26005251</t>
  </si>
  <si>
    <t>ENGG04AC</t>
  </si>
  <si>
    <t>Novia Lailatul Fitri</t>
  </si>
  <si>
    <t>Dusun Purwosari, RT.002/RW.007, Kel. Tanjungsari, Kec. Umbulsari</t>
  </si>
  <si>
    <t>3509055411040003</t>
  </si>
  <si>
    <t>H26005252</t>
  </si>
  <si>
    <t>IKHL12AC</t>
  </si>
  <si>
    <t>Haji Mahdan</t>
  </si>
  <si>
    <t>Dusun Batu Mulya, RT.000/RW.000, Kel. Gapuk, Kec. Gerung</t>
  </si>
  <si>
    <t>5201012308800002</t>
  </si>
  <si>
    <t>H26005253</t>
  </si>
  <si>
    <t>ENGG05AC</t>
  </si>
  <si>
    <t>Lutfi Kamal</t>
  </si>
  <si>
    <t>Dusun Jatilawang, RT.002/RW.004, Kel. Tegal Wangi, Kec. Umbulsari</t>
  </si>
  <si>
    <t>3509052401020004</t>
  </si>
  <si>
    <t>H26005254</t>
  </si>
  <si>
    <t>IKHL13AC</t>
  </si>
  <si>
    <t>Zaenudin</t>
  </si>
  <si>
    <t>Dusun Batu Mulik, RT.013/RW.003, Kel. Gapuk, Kec. Gerung</t>
  </si>
  <si>
    <t>5201010107760210</t>
  </si>
  <si>
    <t>H26005255</t>
  </si>
  <si>
    <t>Z26002153</t>
  </si>
  <si>
    <t>ALAM02AC</t>
  </si>
  <si>
    <t>Alam Makmur, UD</t>
  </si>
  <si>
    <t>Wahyu Nugroho</t>
  </si>
  <si>
    <t>Dusun Beteng, RT.002/RW.002, Kel. Sidomekar, Kec. Semboro</t>
  </si>
  <si>
    <t>3509072204840001</t>
  </si>
  <si>
    <t>QKANG07</t>
  </si>
  <si>
    <t>Kangkung Bisi 20 X 1 kg</t>
  </si>
  <si>
    <t>QJAGU81</t>
  </si>
  <si>
    <t>Jagung Manis Panglima F1 40 X 1750 biji</t>
  </si>
  <si>
    <t>H26005256</t>
  </si>
  <si>
    <t>Z26002152</t>
  </si>
  <si>
    <t>ALAM01AC</t>
  </si>
  <si>
    <t>Susiana</t>
  </si>
  <si>
    <t>Dusun Semboro Lor, RT.003/RW.027, Kel. Semboro, Kec. Semboro</t>
  </si>
  <si>
    <t>3509074202780001</t>
  </si>
  <si>
    <t>QKALI01</t>
  </si>
  <si>
    <t>Kaliandra 482 EC 20 X 400 ml*</t>
  </si>
  <si>
    <t>B26010544</t>
  </si>
  <si>
    <t>Mahkota/Cik Cuan</t>
  </si>
  <si>
    <t>H26005257</t>
  </si>
  <si>
    <t>IKHL14AC</t>
  </si>
  <si>
    <t>Mahni</t>
  </si>
  <si>
    <t>5201017112660123</t>
  </si>
  <si>
    <t>H26005258</t>
  </si>
  <si>
    <t>Z26002151</t>
  </si>
  <si>
    <t>BERK14AC</t>
  </si>
  <si>
    <t>Berkah Tani/Cupo</t>
  </si>
  <si>
    <t>Satuman</t>
  </si>
  <si>
    <t>Dsn. Tirtoasri, RT.02/RW.26, Kel. Andongsari, Kec. Ambulu</t>
  </si>
  <si>
    <t>3509120107600343</t>
  </si>
  <si>
    <t>QDEKT02</t>
  </si>
  <si>
    <t>Dektin 30 WG 50 X 50 gr*</t>
  </si>
  <si>
    <t>H26005259</t>
  </si>
  <si>
    <t>IKHL03AC</t>
  </si>
  <si>
    <t>Fauzi</t>
  </si>
  <si>
    <t>Dusun Batu Mulik Karang Tengah, RT.000/RW.000, Kel. Gapuk, Kec. Gerung</t>
  </si>
  <si>
    <t>5201012312700002</t>
  </si>
  <si>
    <t>H26005260</t>
  </si>
  <si>
    <t>IKHL04AC</t>
  </si>
  <si>
    <t>Kamaludin</t>
  </si>
  <si>
    <t>Dusun Bongor, RT.007/RW.000, Kel. Taman Ayu, Kec. Gerung</t>
  </si>
  <si>
    <t>5201010107710063</t>
  </si>
  <si>
    <t>H26005261</t>
  </si>
  <si>
    <t>Z26002154</t>
  </si>
  <si>
    <t>ALAM03AC</t>
  </si>
  <si>
    <t>Arif Dwi Saputro</t>
  </si>
  <si>
    <t>Dusun Semboro Kidul, RT.003/RW.001, Kel. Semboro, Kec. Semboro</t>
  </si>
  <si>
    <t>3509072206910002</t>
  </si>
  <si>
    <t>QJAGU78</t>
  </si>
  <si>
    <t>Jagung DK 9209C 20 X 1 kg</t>
  </si>
  <si>
    <t>H26005262</t>
  </si>
  <si>
    <t>IKHL05AC</t>
  </si>
  <si>
    <t>Hardian</t>
  </si>
  <si>
    <t>Dusun Batu Mulik Kr. Tengah, RT.003/RW.000, Kel. Gapuk, Kec. Gerung</t>
  </si>
  <si>
    <t>5201010107750367</t>
  </si>
  <si>
    <t>H26005263</t>
  </si>
  <si>
    <t>Z26002148</t>
  </si>
  <si>
    <t>RASK06AC</t>
  </si>
  <si>
    <t>Raska, UD</t>
  </si>
  <si>
    <t>Eka Putra W</t>
  </si>
  <si>
    <t>Dsn. Wuluhan, RT.001/RW.011, Kel. Dukuh Dempok, Kec. Wuluhan</t>
  </si>
  <si>
    <t>3509112012920002</t>
  </si>
  <si>
    <t>QQIUM03</t>
  </si>
  <si>
    <t>Qiumex 36 EC 20 X 500 ml*</t>
  </si>
  <si>
    <t>QQIUM06</t>
  </si>
  <si>
    <t>Qiumex 36 EC 40 X 250 ml*</t>
  </si>
  <si>
    <t>Z26002355</t>
  </si>
  <si>
    <t>Sarana Pertanian</t>
  </si>
  <si>
    <t>QSPRA44</t>
  </si>
  <si>
    <t>Sprayer Elektrik Joeragan Tipe 3 16 L Battery</t>
  </si>
  <si>
    <t>H26005264</t>
  </si>
  <si>
    <t>IKHL06AC</t>
  </si>
  <si>
    <t>Nurul Hikmah</t>
  </si>
  <si>
    <t>5201016505840002</t>
  </si>
  <si>
    <t>H26005265</t>
  </si>
  <si>
    <t>Z26002171</t>
  </si>
  <si>
    <t>LANG13AC</t>
  </si>
  <si>
    <t>Langgeng Makmur</t>
  </si>
  <si>
    <t>Trio Muhammad Haqiqi</t>
  </si>
  <si>
    <t>Dusun Sumberagung, RT.003/RW.004,Kel. Karangdoro, Kec. Tegalsari</t>
  </si>
  <si>
    <t>Banyuwangi</t>
  </si>
  <si>
    <t>3510232602990002</t>
  </si>
  <si>
    <t>QMKP01</t>
  </si>
  <si>
    <t>MKP 20 X 1 kg</t>
  </si>
  <si>
    <t>QCALC03</t>
  </si>
  <si>
    <t>Calcium D-Diana 20 X 1 kg*</t>
  </si>
  <si>
    <t>QQIUD01</t>
  </si>
  <si>
    <t>Qiudor 25 WP 100 X 100 gr*</t>
  </si>
  <si>
    <t>Z26002421</t>
  </si>
  <si>
    <t>H26005266</t>
  </si>
  <si>
    <t>Z26002155</t>
  </si>
  <si>
    <t>Ariyani</t>
  </si>
  <si>
    <t>IBUT05AC</t>
  </si>
  <si>
    <t>Ibu Tani II</t>
  </si>
  <si>
    <t>Buama</t>
  </si>
  <si>
    <t>Dusun Bukolan RT.002/RW.004 , Kel. Tamansari Kec. Dringu</t>
  </si>
  <si>
    <t>Probolinggo</t>
  </si>
  <si>
    <t>3513196601800001</t>
  </si>
  <si>
    <t>QARCA01</t>
  </si>
  <si>
    <t>Arcanate 40/160 SC 40 X 250 ml*</t>
  </si>
  <si>
    <t>H26005267</t>
  </si>
  <si>
    <t>Z26002156</t>
  </si>
  <si>
    <t xml:space="preserve">JOH07AC </t>
  </si>
  <si>
    <t>Tani Sejati/Johny</t>
  </si>
  <si>
    <t>Mimin</t>
  </si>
  <si>
    <t>Jl. A. Yani I.R. H. Ambodalle, RT.003/RW.009, Kel.Kadia, Kec. Kadia</t>
  </si>
  <si>
    <t>Kendari</t>
  </si>
  <si>
    <t>7471086505910002</t>
  </si>
  <si>
    <t>QMETA13</t>
  </si>
  <si>
    <t>Metachlor 550/100 EC 20 X 800 ml*</t>
  </si>
  <si>
    <t>H26005268</t>
  </si>
  <si>
    <t>Z26002160</t>
  </si>
  <si>
    <t>MERD96AC</t>
  </si>
  <si>
    <t>Mashadi</t>
  </si>
  <si>
    <t xml:space="preserve">Dusun Gumuk Sari RT.015/RW.011 , Kel. Nogosari Kec. Rambipuji </t>
  </si>
  <si>
    <t>3509130707680002</t>
  </si>
  <si>
    <t>QQIUM07</t>
  </si>
  <si>
    <t>Qiumex 36 EC 10 X 1 ltr*</t>
  </si>
  <si>
    <t>QQIUM08</t>
  </si>
  <si>
    <t>Qiumex 36 EC 100 X 100 ml*</t>
  </si>
  <si>
    <t>Z26002143</t>
  </si>
  <si>
    <t>H26005269</t>
  </si>
  <si>
    <t>IBUT04AC</t>
  </si>
  <si>
    <t>Andi Hermanto</t>
  </si>
  <si>
    <t>Somor Kodung RT.012/RW.006 , Kel. Sumberrejo Kec. Tongas</t>
  </si>
  <si>
    <t>3513190505890003</t>
  </si>
  <si>
    <t>H26005270</t>
  </si>
  <si>
    <t>Z26002162</t>
  </si>
  <si>
    <t>MERD93AC</t>
  </si>
  <si>
    <t>Sami</t>
  </si>
  <si>
    <t>Dusun Gumuklimo RT.028/RW.004 , Kel. Nogosari Kec. Rambipuji</t>
  </si>
  <si>
    <t>3509135007680003</t>
  </si>
  <si>
    <t>QCABR01</t>
  </si>
  <si>
    <t>Cabrio 250 EC 24 X 250 ml</t>
  </si>
  <si>
    <t>QBION02</t>
  </si>
  <si>
    <t>Bionik 400 EC 20 X 500 ml*</t>
  </si>
  <si>
    <t>QBION03</t>
  </si>
  <si>
    <t>Bionik 400 EC 50 X 100 ml*</t>
  </si>
  <si>
    <t>H26005271</t>
  </si>
  <si>
    <t>IBUT03AC</t>
  </si>
  <si>
    <t>Amirul Mu'minin</t>
  </si>
  <si>
    <t>Gili Pasar RT.001/RW.010 , Kel. Jongoran Kec. Leces</t>
  </si>
  <si>
    <t>3513050107660189</t>
  </si>
  <si>
    <t>H26005272</t>
  </si>
  <si>
    <t xml:space="preserve">JOH08AC </t>
  </si>
  <si>
    <t>La Ode Musu</t>
  </si>
  <si>
    <t>Desa Guali, RT.001/RW.001, Kel. Guali, Kec. Kusambi</t>
  </si>
  <si>
    <t>Muna</t>
  </si>
  <si>
    <t>7403050701870202</t>
  </si>
  <si>
    <t>H26005273</t>
  </si>
  <si>
    <t>LANG14AC</t>
  </si>
  <si>
    <t>Susiyono</t>
  </si>
  <si>
    <t>Dusun Sidomukti, RT.001/RW.001, Kel. Yosomulyo, Kec. Gambiran</t>
  </si>
  <si>
    <t>3510071001800003</t>
  </si>
  <si>
    <t>QDECI03</t>
  </si>
  <si>
    <t>Decis 25 EC 20 X 500 ml</t>
  </si>
  <si>
    <t>QETHR02</t>
  </si>
  <si>
    <t>Ethrel 480 SL 100 X 100 ml</t>
  </si>
  <si>
    <t>H26005274</t>
  </si>
  <si>
    <t>MERD95AC</t>
  </si>
  <si>
    <t>Misnari</t>
  </si>
  <si>
    <t>Dusun Gumuk Sari RT.001/RW.001 , Kel. Nogosari Kec. Rambipuji</t>
  </si>
  <si>
    <t>3509130107670035</t>
  </si>
  <si>
    <t>H26005275</t>
  </si>
  <si>
    <t>Z26002165</t>
  </si>
  <si>
    <t>MATO04AC</t>
  </si>
  <si>
    <t>Sekar Tani/Matori</t>
  </si>
  <si>
    <t>Ribut Sugiyanto</t>
  </si>
  <si>
    <t>Dusun Langon, RT.003/RW.030, Kel. Ambulu, Kec. Ambulu</t>
  </si>
  <si>
    <t>3509120504670002</t>
  </si>
  <si>
    <t>QJAGU112</t>
  </si>
  <si>
    <t>Jagung P27 Lumigen 20 X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</si>
</sst>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_(* #,##0.00_);_(* \(#,##0.00\);_(* &quot;-&quot;??_);_(@_)"/>
    <numFmt numFmtId="166" formatCode="[$-421]dd\ mmmm\ yyyy;@"/>
    <numFmt numFmtId="167" formatCode="[$-409]dd\-mmm\-yy;@"/>
  </numFmts>
  <fonts count="33" x14ac:knownFonts="1">
    <font>
      <sz val="9"/>
      <color theme="1"/>
      <name val="Arial Narrow"/>
      <family val="2"/>
      <charset val="1"/>
    </font>
    <font>
      <sz val="11"/>
      <color theme="1"/>
      <name val="Calibri"/>
      <family val="2"/>
      <scheme val="minor"/>
    </font>
    <font>
      <sz val="9"/>
      <color theme="1"/>
      <name val="Arial Narrow"/>
      <family val="2"/>
      <charset val="1"/>
    </font>
    <font>
      <b/>
      <sz val="16"/>
      <color rgb="FF0000CC"/>
      <name val="Arial"/>
      <family val="2"/>
    </font>
    <font>
      <sz val="9"/>
      <color theme="1"/>
      <name val="Arial"/>
      <family val="2"/>
    </font>
    <font>
      <sz val="9"/>
      <name val="Khmer UI"/>
      <family val="2"/>
    </font>
    <font>
      <sz val="9"/>
      <color theme="1"/>
      <name val="Khmer UI"/>
    </font>
    <font>
      <sz val="9"/>
      <color theme="1"/>
      <name val="Khmer UI"/>
      <family val="2"/>
    </font>
    <font>
      <sz val="5"/>
      <color theme="1"/>
      <name val="Khmer UI"/>
      <family val="2"/>
    </font>
    <font>
      <sz val="8"/>
      <color theme="1"/>
      <name val="Arial Narrow"/>
      <family val="2"/>
    </font>
    <font>
      <sz val="5"/>
      <name val="Khmer UI"/>
      <family val="2"/>
    </font>
    <font>
      <sz val="6"/>
      <name val="Arial Narrow"/>
      <family val="2"/>
    </font>
    <font>
      <sz val="6"/>
      <color theme="1"/>
      <name val="Arial"/>
      <family val="2"/>
    </font>
    <font>
      <b/>
      <sz val="9"/>
      <name val="Arial"/>
      <family val="2"/>
    </font>
    <font>
      <b/>
      <sz val="9"/>
      <name val="Khmer UI"/>
    </font>
    <font>
      <b/>
      <sz val="12"/>
      <color rgb="FFFF0000"/>
      <name val="Arial"/>
      <family val="2"/>
    </font>
    <font>
      <sz val="9"/>
      <name val="Arial"/>
      <family val="2"/>
    </font>
    <font>
      <b/>
      <sz val="7"/>
      <name val="Khmer UI"/>
      <family val="2"/>
    </font>
    <font>
      <b/>
      <sz val="10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sz val="9"/>
      <color theme="9" tint="-0.499984740745262"/>
      <name val="Khmer UI"/>
      <family val="2"/>
    </font>
    <font>
      <b/>
      <sz val="10"/>
      <color rgb="FF00B050"/>
      <name val="Arial Narrow"/>
      <family val="2"/>
    </font>
    <font>
      <b/>
      <sz val="8"/>
      <color theme="0"/>
      <name val="Arial Narrow"/>
      <family val="2"/>
    </font>
    <font>
      <b/>
      <sz val="8"/>
      <name val="Khmer UI"/>
      <family val="2"/>
    </font>
    <font>
      <b/>
      <sz val="9"/>
      <name val="Arial Narrow"/>
      <family val="2"/>
    </font>
    <font>
      <b/>
      <sz val="9"/>
      <color rgb="FFFF0000"/>
      <name val="Khmer UI"/>
      <family val="2"/>
    </font>
    <font>
      <sz val="8"/>
      <color theme="1"/>
      <name val="Khmer UI"/>
      <family val="2"/>
    </font>
    <font>
      <sz val="9"/>
      <name val="Khmer UI"/>
    </font>
    <font>
      <b/>
      <sz val="9"/>
      <name val="Khmer UI"/>
      <family val="2"/>
    </font>
    <font>
      <b/>
      <sz val="9"/>
      <color theme="1"/>
      <name val="Arial"/>
      <family val="2"/>
    </font>
    <font>
      <sz val="8"/>
      <name val="Khmer UI"/>
      <family val="2"/>
    </font>
    <font>
      <b/>
      <sz val="8"/>
      <name val="Khmer UI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1" applyNumberFormat="1" applyFont="1" applyBorder="1" applyAlignment="1">
      <alignment vertical="center"/>
    </xf>
    <xf numFmtId="0" fontId="9" fillId="0" borderId="0" xfId="1" applyNumberFormat="1" applyFont="1" applyBorder="1" applyAlignment="1">
      <alignment vertical="center"/>
    </xf>
    <xf numFmtId="0" fontId="10" fillId="2" borderId="0" xfId="1" applyNumberFormat="1" applyFont="1" applyFill="1" applyBorder="1" applyAlignment="1">
      <alignment vertical="center"/>
    </xf>
    <xf numFmtId="165" fontId="11" fillId="0" borderId="0" xfId="0" applyNumberFormat="1" applyFont="1" applyAlignment="1">
      <alignment vertical="center"/>
    </xf>
    <xf numFmtId="165" fontId="12" fillId="0" borderId="0" xfId="1" applyFont="1" applyBorder="1" applyAlignment="1">
      <alignment vertical="center"/>
    </xf>
    <xf numFmtId="0" fontId="13" fillId="0" borderId="0" xfId="0" applyFont="1" applyAlignment="1">
      <alignment vertical="center"/>
    </xf>
    <xf numFmtId="165" fontId="11" fillId="0" borderId="0" xfId="0" applyNumberFormat="1" applyFont="1" applyAlignment="1">
      <alignment horizontal="center" vertical="center"/>
    </xf>
    <xf numFmtId="165" fontId="4" fillId="0" borderId="0" xfId="1" applyFont="1" applyBorder="1" applyAlignment="1">
      <alignment vertical="center"/>
    </xf>
    <xf numFmtId="165" fontId="14" fillId="0" borderId="0" xfId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5" fontId="4" fillId="2" borderId="0" xfId="1" applyFont="1" applyFill="1" applyBorder="1" applyAlignment="1">
      <alignment vertical="center"/>
    </xf>
    <xf numFmtId="165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65" fontId="19" fillId="0" borderId="0" xfId="1" applyFont="1" applyBorder="1" applyAlignment="1">
      <alignment vertical="center"/>
    </xf>
    <xf numFmtId="165" fontId="7" fillId="0" borderId="0" xfId="1" applyFont="1" applyBorder="1" applyAlignment="1">
      <alignment vertical="center"/>
    </xf>
    <xf numFmtId="165" fontId="19" fillId="2" borderId="0" xfId="1" applyFont="1" applyFill="1" applyBorder="1" applyAlignment="1">
      <alignment vertical="center"/>
    </xf>
    <xf numFmtId="0" fontId="21" fillId="0" borderId="0" xfId="0" applyFont="1" applyAlignment="1">
      <alignment horizontal="left" vertical="center"/>
    </xf>
    <xf numFmtId="165" fontId="19" fillId="0" borderId="0" xfId="1" applyFont="1" applyBorder="1" applyAlignment="1">
      <alignment horizontal="center" vertical="center"/>
    </xf>
    <xf numFmtId="0" fontId="22" fillId="0" borderId="0" xfId="0" applyFont="1"/>
    <xf numFmtId="0" fontId="23" fillId="0" borderId="0" xfId="0" applyFont="1" applyAlignment="1">
      <alignment horizontal="center" vertical="center"/>
    </xf>
    <xf numFmtId="165" fontId="7" fillId="0" borderId="0" xfId="1" applyFont="1" applyFill="1" applyBorder="1" applyAlignment="1">
      <alignment vertical="center"/>
    </xf>
    <xf numFmtId="165" fontId="5" fillId="2" borderId="0" xfId="1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2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65" fontId="19" fillId="0" borderId="0" xfId="1" applyFont="1" applyFill="1" applyBorder="1" applyAlignment="1">
      <alignment vertical="center"/>
    </xf>
    <xf numFmtId="0" fontId="25" fillId="0" borderId="0" xfId="1" applyNumberFormat="1" applyFont="1" applyBorder="1" applyAlignment="1">
      <alignment vertical="center"/>
    </xf>
    <xf numFmtId="164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0" fontId="7" fillId="4" borderId="0" xfId="0" applyFont="1" applyFill="1" applyAlignment="1">
      <alignment vertical="center"/>
    </xf>
    <xf numFmtId="165" fontId="26" fillId="0" borderId="0" xfId="1" applyFont="1" applyBorder="1" applyAlignment="1">
      <alignment vertical="center"/>
    </xf>
    <xf numFmtId="165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5" fontId="7" fillId="2" borderId="0" xfId="1" applyFont="1" applyFill="1" applyBorder="1" applyAlignment="1">
      <alignment vertical="center"/>
    </xf>
    <xf numFmtId="0" fontId="29" fillId="0" borderId="0" xfId="1" applyNumberFormat="1" applyFont="1" applyBorder="1" applyAlignment="1">
      <alignment vertical="center"/>
    </xf>
    <xf numFmtId="0" fontId="30" fillId="5" borderId="1" xfId="0" applyFont="1" applyFill="1" applyBorder="1" applyAlignment="1">
      <alignment horizontal="center" vertical="center"/>
    </xf>
    <xf numFmtId="164" fontId="30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5" fontId="30" fillId="5" borderId="1" xfId="1" applyFont="1" applyFill="1" applyBorder="1" applyAlignment="1">
      <alignment horizontal="center" vertical="center"/>
    </xf>
    <xf numFmtId="165" fontId="30" fillId="2" borderId="1" xfId="1" applyFont="1" applyFill="1" applyBorder="1" applyAlignment="1">
      <alignment horizontal="center" vertical="center"/>
    </xf>
    <xf numFmtId="165" fontId="30" fillId="5" borderId="1" xfId="0" applyNumberFormat="1" applyFont="1" applyFill="1" applyBorder="1" applyAlignment="1">
      <alignment horizontal="center" vertical="center"/>
    </xf>
    <xf numFmtId="165" fontId="30" fillId="6" borderId="1" xfId="1" applyFont="1" applyFill="1" applyBorder="1" applyAlignment="1">
      <alignment horizontal="center" vertical="center" wrapText="1"/>
    </xf>
    <xf numFmtId="165" fontId="30" fillId="5" borderId="1" xfId="1" applyFont="1" applyFill="1" applyBorder="1" applyAlignment="1">
      <alignment horizontal="center" vertical="center" wrapText="1"/>
    </xf>
    <xf numFmtId="165" fontId="30" fillId="6" borderId="1" xfId="0" applyNumberFormat="1" applyFont="1" applyFill="1" applyBorder="1" applyAlignment="1">
      <alignment horizontal="center" vertical="center"/>
    </xf>
    <xf numFmtId="165" fontId="30" fillId="6" borderId="1" xfId="1" applyFont="1" applyFill="1" applyBorder="1" applyAlignment="1">
      <alignment horizontal="center" vertical="center"/>
    </xf>
    <xf numFmtId="165" fontId="30" fillId="2" borderId="1" xfId="1" applyFont="1" applyFill="1" applyBorder="1" applyAlignment="1">
      <alignment vertical="center"/>
    </xf>
    <xf numFmtId="0" fontId="13" fillId="5" borderId="1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7" fontId="6" fillId="0" borderId="0" xfId="0" applyNumberFormat="1" applyFont="1" applyAlignment="1">
      <alignment horizontal="left" vertical="center"/>
    </xf>
    <xf numFmtId="165" fontId="6" fillId="0" borderId="0" xfId="2" applyFont="1" applyAlignment="1">
      <alignment horizontal="left" vertical="center"/>
    </xf>
    <xf numFmtId="165" fontId="31" fillId="0" borderId="0" xfId="1" applyFont="1" applyFill="1" applyBorder="1" applyAlignment="1">
      <alignment vertical="center"/>
    </xf>
    <xf numFmtId="165" fontId="31" fillId="0" borderId="0" xfId="0" applyNumberFormat="1" applyFont="1" applyAlignment="1">
      <alignment vertical="center"/>
    </xf>
    <xf numFmtId="165" fontId="31" fillId="0" borderId="0" xfId="0" applyNumberFormat="1" applyFont="1" applyAlignment="1">
      <alignment horizontal="center" vertical="center"/>
    </xf>
    <xf numFmtId="0" fontId="24" fillId="0" borderId="0" xfId="1" applyNumberFormat="1" applyFont="1" applyFill="1" applyBorder="1" applyAlignment="1">
      <alignment vertical="center"/>
    </xf>
    <xf numFmtId="0" fontId="31" fillId="0" borderId="0" xfId="0" applyFont="1" applyAlignment="1">
      <alignment vertical="center"/>
    </xf>
    <xf numFmtId="165" fontId="32" fillId="0" borderId="0" xfId="1" applyFont="1" applyFill="1" applyBorder="1" applyAlignment="1">
      <alignment vertical="center"/>
    </xf>
  </cellXfs>
  <cellStyles count="3">
    <cellStyle name="Comma" xfId="1" builtinId="3"/>
    <cellStyle name="Comma 10 2" xfId="2" xr:uid="{02ABD362-666F-42AA-9012-AC8092154F7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ANG%20PRAYOGA\Downloads\PENJACAK_2608%20-20%25.xls" TargetMode="External"/><Relationship Id="rId1" Type="http://schemas.openxmlformats.org/officeDocument/2006/relationships/externalLinkPath" Target="PENJACAK_2608%20-20%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Brng"/>
      <sheetName val="PENJUALAN"/>
      <sheetName val="Sheet2"/>
      <sheetName val="cust acak mulai 2021"/>
    </sheetNames>
    <sheetDataSet>
      <sheetData sheetId="0"/>
      <sheetData sheetId="1"/>
      <sheetData sheetId="2"/>
      <sheetData sheetId="3"/>
      <sheetData sheetId="4">
        <row r="4">
          <cell r="B4" t="str">
            <v>ABAT01AC</v>
          </cell>
          <cell r="C4" t="str">
            <v>Aba, Toko</v>
          </cell>
          <cell r="D4" t="str">
            <v>Sopian Andiwana</v>
          </cell>
          <cell r="E4" t="str">
            <v>Teluk Sepang, RT.003/RW.000, Kel. Jembatan Gantung, Kec. Lembar</v>
          </cell>
          <cell r="F4" t="str">
            <v>Lombok Barat</v>
          </cell>
          <cell r="G4" t="str">
            <v>5201131001890005</v>
          </cell>
          <cell r="H4" t="str">
            <v>000000000000000</v>
          </cell>
          <cell r="J4">
            <v>0</v>
          </cell>
          <cell r="K4">
            <v>0</v>
          </cell>
          <cell r="L4">
            <v>0</v>
          </cell>
        </row>
        <row r="5">
          <cell r="B5" t="str">
            <v>ABAT02AC</v>
          </cell>
          <cell r="C5" t="str">
            <v>Aba, Toko</v>
          </cell>
          <cell r="D5" t="str">
            <v>Paozan</v>
          </cell>
          <cell r="E5" t="str">
            <v>Teluk Sepang, RT.003/RW.000, Kel. Jembatan Gantung, Kec. Lembar</v>
          </cell>
          <cell r="F5" t="str">
            <v>Lombok Barat</v>
          </cell>
          <cell r="G5" t="str">
            <v>5201133112860199</v>
          </cell>
          <cell r="H5" t="str">
            <v>000000000000000</v>
          </cell>
          <cell r="J5">
            <v>0</v>
          </cell>
          <cell r="K5">
            <v>0</v>
          </cell>
          <cell r="L5">
            <v>0</v>
          </cell>
        </row>
        <row r="6">
          <cell r="B6" t="str">
            <v>ABAT03AC</v>
          </cell>
          <cell r="C6" t="str">
            <v>Aba, Toko</v>
          </cell>
          <cell r="D6" t="str">
            <v>Sahman</v>
          </cell>
          <cell r="E6" t="str">
            <v>Teluk Sepang, RT.003/RW.000, Kel. Jembatan Gantung, Kec. Lembar</v>
          </cell>
          <cell r="F6" t="str">
            <v>Lombok Barat</v>
          </cell>
          <cell r="G6" t="str">
            <v>5201133112870182</v>
          </cell>
          <cell r="H6" t="str">
            <v>000000000000000</v>
          </cell>
          <cell r="J6">
            <v>0</v>
          </cell>
          <cell r="K6">
            <v>0</v>
          </cell>
          <cell r="L6">
            <v>0</v>
          </cell>
        </row>
        <row r="7">
          <cell r="B7" t="str">
            <v>ABAT04AC</v>
          </cell>
          <cell r="C7" t="str">
            <v>Aba, Toko</v>
          </cell>
          <cell r="D7" t="str">
            <v>Zul Baehaki</v>
          </cell>
          <cell r="E7" t="str">
            <v>Teluk Sepang, RT.003/RW.000, Kel. Jembatan Gantung, Kec. Lembar</v>
          </cell>
          <cell r="F7" t="str">
            <v>Lombok Barat</v>
          </cell>
          <cell r="G7" t="str">
            <v>5201130608890001</v>
          </cell>
          <cell r="H7" t="str">
            <v>000000000000000</v>
          </cell>
          <cell r="J7">
            <v>0</v>
          </cell>
          <cell r="K7">
            <v>0</v>
          </cell>
          <cell r="L7">
            <v>0</v>
          </cell>
        </row>
        <row r="8">
          <cell r="B8" t="str">
            <v>ADHI01AC</v>
          </cell>
          <cell r="C8" t="str">
            <v>Adhi Tani Mulyo, UD</v>
          </cell>
          <cell r="D8" t="str">
            <v>Mutaji</v>
          </cell>
          <cell r="E8" t="str">
            <v>Dsn. Kalipinggir, RT.024/RW.005, Kel. Gondang, Kec. Tugu</v>
          </cell>
          <cell r="F8" t="str">
            <v>Trenggalek</v>
          </cell>
          <cell r="G8" t="str">
            <v>3503050809630001</v>
          </cell>
          <cell r="H8" t="str">
            <v>000000000000000</v>
          </cell>
          <cell r="J8">
            <v>7199999.9999040011</v>
          </cell>
          <cell r="K8">
            <v>0</v>
          </cell>
          <cell r="L8">
            <v>7199999.9999040011</v>
          </cell>
        </row>
        <row r="9">
          <cell r="B9" t="str">
            <v>ADHI02AC</v>
          </cell>
          <cell r="C9" t="str">
            <v>Adhi Tani Mulyo, UD</v>
          </cell>
          <cell r="D9" t="str">
            <v>Mustain</v>
          </cell>
          <cell r="E9" t="str">
            <v>Dsn. Kebonsari, RT.022/RW.006, Kel. Gondang, Kec. Tugu</v>
          </cell>
          <cell r="F9" t="str">
            <v>Trenggalek</v>
          </cell>
          <cell r="G9" t="str">
            <v>3503051208660001</v>
          </cell>
          <cell r="H9" t="str">
            <v>000000000000000</v>
          </cell>
          <cell r="J9">
            <v>3332000</v>
          </cell>
          <cell r="K9">
            <v>0</v>
          </cell>
          <cell r="L9">
            <v>3332000</v>
          </cell>
        </row>
        <row r="10">
          <cell r="B10" t="str">
            <v>ADHI03AC</v>
          </cell>
          <cell r="C10" t="str">
            <v>Adhi Tani Mulyo, UD</v>
          </cell>
          <cell r="D10" t="str">
            <v>Marwiti</v>
          </cell>
          <cell r="E10" t="str">
            <v>Dsn. Sumberejo, RT.002/RW.001, Kel. Winong, Kec. Tugu</v>
          </cell>
          <cell r="F10" t="str">
            <v>Trenggalek</v>
          </cell>
          <cell r="G10" t="str">
            <v>3503055505740002</v>
          </cell>
          <cell r="H10" t="str">
            <v>000000000000000</v>
          </cell>
          <cell r="J10">
            <v>13599999.999941999</v>
          </cell>
          <cell r="K10">
            <v>0</v>
          </cell>
          <cell r="L10">
            <v>13599999.999941999</v>
          </cell>
        </row>
        <row r="11">
          <cell r="B11" t="str">
            <v>ADHI04AC</v>
          </cell>
          <cell r="C11" t="str">
            <v>Adhi Tani Mulyo, UD</v>
          </cell>
          <cell r="D11" t="str">
            <v>Juremi</v>
          </cell>
          <cell r="E11" t="str">
            <v>Dsn. Kalipinggir, RT.018/RW.005, Kel. Gondang, Kec. Tugu</v>
          </cell>
          <cell r="F11" t="str">
            <v>Trenggalek</v>
          </cell>
          <cell r="G11" t="str">
            <v>3503053112630037</v>
          </cell>
          <cell r="H11" t="str">
            <v>000000000000000</v>
          </cell>
          <cell r="J11">
            <v>0</v>
          </cell>
          <cell r="K11">
            <v>0</v>
          </cell>
          <cell r="L11">
            <v>0</v>
          </cell>
        </row>
        <row r="12">
          <cell r="B12" t="str">
            <v>ADHI05AC</v>
          </cell>
          <cell r="C12" t="str">
            <v>Adhi Tani Mulyo, UD</v>
          </cell>
          <cell r="D12" t="str">
            <v>Muawanah</v>
          </cell>
          <cell r="E12" t="str">
            <v>Dsn. Setono, RT.014/RW.004, Kel. Gondang, Kec. Tugu</v>
          </cell>
          <cell r="F12" t="str">
            <v>Trenggalek</v>
          </cell>
          <cell r="G12" t="str">
            <v>3503056707700001</v>
          </cell>
          <cell r="H12" t="str">
            <v>000000000000000</v>
          </cell>
          <cell r="J12">
            <v>0</v>
          </cell>
          <cell r="K12">
            <v>0</v>
          </cell>
          <cell r="L12">
            <v>0</v>
          </cell>
        </row>
        <row r="13">
          <cell r="B13" t="str">
            <v>ADHI06AC</v>
          </cell>
          <cell r="C13" t="str">
            <v>Adhi Tani Mulyo, UD</v>
          </cell>
          <cell r="D13" t="str">
            <v>Slamet</v>
          </cell>
          <cell r="E13" t="str">
            <v>Dsn. Kondang Kidul, RT.013/RW.003, Kel. Gondang, Kec. Tugu</v>
          </cell>
          <cell r="F13" t="str">
            <v>Trenggalek</v>
          </cell>
          <cell r="G13" t="str">
            <v>3503052010710002</v>
          </cell>
          <cell r="H13" t="str">
            <v>000000000000000</v>
          </cell>
          <cell r="J13">
            <v>0</v>
          </cell>
          <cell r="K13">
            <v>0</v>
          </cell>
          <cell r="L13">
            <v>0</v>
          </cell>
        </row>
        <row r="14">
          <cell r="B14" t="str">
            <v>ADHI07AC</v>
          </cell>
          <cell r="C14" t="str">
            <v>Adhi Tani Mulyo, UD</v>
          </cell>
          <cell r="D14" t="str">
            <v>Sumarno</v>
          </cell>
          <cell r="E14" t="str">
            <v>Dsn. Setono, RT.015/RW.004, Kel. Gondang, Kec. Tugu</v>
          </cell>
          <cell r="F14" t="str">
            <v>Trenggalek</v>
          </cell>
          <cell r="G14" t="str">
            <v>3503051705580001</v>
          </cell>
          <cell r="H14" t="str">
            <v>000000000000000</v>
          </cell>
          <cell r="J14">
            <v>0</v>
          </cell>
          <cell r="K14">
            <v>0</v>
          </cell>
          <cell r="L14">
            <v>0</v>
          </cell>
        </row>
        <row r="15">
          <cell r="B15" t="str">
            <v>ADHI08AC</v>
          </cell>
          <cell r="C15" t="str">
            <v>Adhi Tani Mulyo, UD</v>
          </cell>
          <cell r="D15" t="str">
            <v>Asmoro</v>
          </cell>
          <cell r="E15" t="str">
            <v>Dsn. Winong, RT.002/RW.001, Kel. Winong, Kec. Tugu</v>
          </cell>
          <cell r="F15" t="str">
            <v>Trenggalek</v>
          </cell>
          <cell r="G15" t="str">
            <v>3503051004760003</v>
          </cell>
          <cell r="H15" t="str">
            <v>000000000000000</v>
          </cell>
          <cell r="J15">
            <v>0</v>
          </cell>
          <cell r="K15">
            <v>0</v>
          </cell>
          <cell r="L15">
            <v>0</v>
          </cell>
        </row>
        <row r="16">
          <cell r="B16" t="str">
            <v>ADHI09AC</v>
          </cell>
          <cell r="C16" t="str">
            <v>Adhi Tani Mulyo, UD</v>
          </cell>
          <cell r="D16" t="str">
            <v>Djito</v>
          </cell>
          <cell r="E16" t="str">
            <v>Dsn. Selomunding, RT.005/RW.002, Kel. Winong, Kec. Tugu</v>
          </cell>
          <cell r="F16" t="str">
            <v>Trenggalek</v>
          </cell>
          <cell r="G16" t="str">
            <v>3503050407620002</v>
          </cell>
          <cell r="H16" t="str">
            <v>000000000000000</v>
          </cell>
          <cell r="J16">
            <v>0</v>
          </cell>
          <cell r="K16">
            <v>0</v>
          </cell>
          <cell r="L16">
            <v>0</v>
          </cell>
        </row>
        <row r="17">
          <cell r="B17" t="str">
            <v>ADHI10AC</v>
          </cell>
          <cell r="C17" t="str">
            <v>Adhi Tani Mulyo, UD</v>
          </cell>
          <cell r="D17" t="str">
            <v>Djemino</v>
          </cell>
          <cell r="E17" t="str">
            <v>Dsn. Sumberejo, RT.002/RW.001, Kel. Winong, Kec. Tugu</v>
          </cell>
          <cell r="F17" t="str">
            <v>Trenggalek</v>
          </cell>
          <cell r="G17" t="str">
            <v>3503050609710003</v>
          </cell>
          <cell r="H17" t="str">
            <v>000000000000000</v>
          </cell>
          <cell r="J17">
            <v>0</v>
          </cell>
          <cell r="K17">
            <v>0</v>
          </cell>
          <cell r="L17">
            <v>0</v>
          </cell>
        </row>
        <row r="18">
          <cell r="B18" t="str">
            <v>ADIB01AC</v>
          </cell>
          <cell r="C18" t="str">
            <v>Adib Lancar/Adib Irwanto</v>
          </cell>
          <cell r="D18" t="str">
            <v>Muhammad Yusuf Hasyim As'ari</v>
          </cell>
          <cell r="E18" t="str">
            <v>Dsn. Tegalan, RT.001/RW.001, Kel. Kauman, Kec. Ngoro</v>
          </cell>
          <cell r="F18" t="str">
            <v>Jombang</v>
          </cell>
          <cell r="G18" t="str">
            <v>3517031108790007</v>
          </cell>
          <cell r="H18" t="str">
            <v>000000000000000</v>
          </cell>
          <cell r="J18">
            <v>0</v>
          </cell>
          <cell r="K18">
            <v>0</v>
          </cell>
          <cell r="L18">
            <v>0</v>
          </cell>
        </row>
        <row r="19">
          <cell r="B19" t="str">
            <v>AGOE01AC</v>
          </cell>
          <cell r="C19" t="str">
            <v>Agoes Santoso</v>
          </cell>
          <cell r="D19" t="str">
            <v>Agoes Santoso</v>
          </cell>
          <cell r="E19" t="str">
            <v xml:space="preserve">Jl. Mojopahit Blok AC No. 1, RT.004/RW.003, Sempusari, </v>
          </cell>
          <cell r="F19" t="str">
            <v>Kaliwates - Jember</v>
          </cell>
          <cell r="G19" t="str">
            <v>0000000000000000</v>
          </cell>
          <cell r="H19" t="str">
            <v>060356490626000</v>
          </cell>
          <cell r="I19" t="str">
            <v>Pembelian Pak Agoes Pribadi</v>
          </cell>
          <cell r="J19">
            <v>0</v>
          </cell>
          <cell r="K19">
            <v>0</v>
          </cell>
          <cell r="L19">
            <v>0</v>
          </cell>
        </row>
        <row r="20">
          <cell r="B20" t="str">
            <v>AGOE02AC</v>
          </cell>
          <cell r="C20" t="str">
            <v>Agoes Santoso</v>
          </cell>
          <cell r="D20" t="str">
            <v>Ach. Fauzan</v>
          </cell>
          <cell r="E20" t="str">
            <v>Dusun Paguan, RT.001/RW.004, Kel. Petung, Kec. Bangsalsari</v>
          </cell>
          <cell r="F20" t="str">
            <v>Jember</v>
          </cell>
          <cell r="G20" t="str">
            <v>3509091706800007</v>
          </cell>
          <cell r="H20" t="str">
            <v>000000000000000</v>
          </cell>
          <cell r="J20">
            <v>0</v>
          </cell>
          <cell r="K20">
            <v>0</v>
          </cell>
          <cell r="L20">
            <v>0</v>
          </cell>
        </row>
        <row r="21">
          <cell r="B21" t="str">
            <v>AGOE03AC</v>
          </cell>
          <cell r="C21" t="str">
            <v>Agoes Santoso</v>
          </cell>
          <cell r="D21" t="str">
            <v>Andik Dwi C</v>
          </cell>
          <cell r="E21" t="str">
            <v>Dusun Krajan, RT.013/RW.007, Kel. Umbulrejo, Kec. Umbulsari</v>
          </cell>
          <cell r="F21" t="str">
            <v>Jember</v>
          </cell>
          <cell r="G21" t="str">
            <v>3509052106910001</v>
          </cell>
          <cell r="H21" t="str">
            <v>000000000000000</v>
          </cell>
          <cell r="J21">
            <v>0</v>
          </cell>
          <cell r="K21">
            <v>0</v>
          </cell>
          <cell r="L21">
            <v>0</v>
          </cell>
        </row>
        <row r="22">
          <cell r="B22" t="str">
            <v>AGOE04AC</v>
          </cell>
          <cell r="C22" t="str">
            <v>Agoes Santoso</v>
          </cell>
          <cell r="D22" t="str">
            <v>Faradina Dwi A</v>
          </cell>
          <cell r="E22" t="str">
            <v>Jl. Branjangan Ling. Semenggu, RT.002/RW.005, Kel. Bintoro, Kec. Patrang</v>
          </cell>
          <cell r="F22" t="str">
            <v>Jember</v>
          </cell>
          <cell r="G22" t="str">
            <v>3509205501840005</v>
          </cell>
          <cell r="H22" t="str">
            <v>000000000000000</v>
          </cell>
          <cell r="J22">
            <v>0</v>
          </cell>
          <cell r="K22">
            <v>0</v>
          </cell>
          <cell r="L22">
            <v>0</v>
          </cell>
        </row>
        <row r="23">
          <cell r="B23" t="str">
            <v>AGOE05AC</v>
          </cell>
          <cell r="C23" t="str">
            <v>Agoes Santoso</v>
          </cell>
          <cell r="D23" t="str">
            <v>Fery Hardian</v>
          </cell>
          <cell r="E23" t="str">
            <v>Jl. Argopuro 37 Rambigundam, RT.005/RW.002, Kel. Rambigundam, Kec. Rambipuji</v>
          </cell>
          <cell r="F23" t="str">
            <v>Jember</v>
          </cell>
          <cell r="G23" t="str">
            <v>3509130802830003</v>
          </cell>
          <cell r="H23" t="str">
            <v>000000000000000</v>
          </cell>
          <cell r="J23">
            <v>0</v>
          </cell>
          <cell r="K23">
            <v>0</v>
          </cell>
          <cell r="L23">
            <v>0</v>
          </cell>
        </row>
        <row r="24">
          <cell r="B24" t="str">
            <v>AGOE06AC</v>
          </cell>
          <cell r="C24" t="str">
            <v>Agoes Santoso</v>
          </cell>
          <cell r="D24" t="str">
            <v>Moh. Johan Arif</v>
          </cell>
          <cell r="E24" t="str">
            <v>Dusun Krajan I, RT.002/RW.016, Kel. Grenden, Kec. Puger</v>
          </cell>
          <cell r="F24" t="str">
            <v>Jember</v>
          </cell>
          <cell r="G24" t="str">
            <v>3509021009860003</v>
          </cell>
          <cell r="H24" t="str">
            <v>000000000000000</v>
          </cell>
          <cell r="J24">
            <v>0</v>
          </cell>
          <cell r="K24">
            <v>0</v>
          </cell>
          <cell r="L24">
            <v>0</v>
          </cell>
        </row>
        <row r="25">
          <cell r="B25" t="str">
            <v>AGOE07AC</v>
          </cell>
          <cell r="C25" t="str">
            <v>Agoes Santoso</v>
          </cell>
          <cell r="D25" t="str">
            <v>Nasihul Ibadil H</v>
          </cell>
          <cell r="E25" t="str">
            <v>Dusun Kresek, RT.003/RW.001, Kel. Pancakarya, Kec. Ajung</v>
          </cell>
          <cell r="F25" t="str">
            <v>Jember</v>
          </cell>
          <cell r="G25" t="str">
            <v>3509172601920003</v>
          </cell>
          <cell r="H25" t="str">
            <v>000000000000000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AGOE08AC</v>
          </cell>
          <cell r="C26" t="str">
            <v>Agoes Santoso</v>
          </cell>
          <cell r="D26" t="str">
            <v>Fina Hidayati</v>
          </cell>
          <cell r="E26" t="str">
            <v>Krajan, RT.001/RW.003, Kel. Menampu, Kec. Gumukmas</v>
          </cell>
          <cell r="F26" t="str">
            <v>Jember</v>
          </cell>
          <cell r="G26" t="str">
            <v>3509086504870003</v>
          </cell>
          <cell r="H26" t="str">
            <v>000000000000000</v>
          </cell>
          <cell r="I26" t="str">
            <v>Z23000080 ( 11/01/2023)</v>
          </cell>
          <cell r="J26">
            <v>0</v>
          </cell>
          <cell r="K26">
            <v>0</v>
          </cell>
          <cell r="L26">
            <v>0</v>
          </cell>
        </row>
        <row r="27">
          <cell r="B27" t="str">
            <v>AGOE09AC</v>
          </cell>
          <cell r="C27" t="str">
            <v>Agoes Santoso</v>
          </cell>
          <cell r="D27" t="str">
            <v>Lutfiah</v>
          </cell>
          <cell r="E27" t="str">
            <v>Dusun Srino Karyo, RT.001/RW.005, Kel. Sukosari, Kec. Sukowono</v>
          </cell>
          <cell r="F27" t="str">
            <v>Jember</v>
          </cell>
          <cell r="G27" t="str">
            <v>3509294107980144</v>
          </cell>
          <cell r="H27" t="str">
            <v>000000000000000</v>
          </cell>
          <cell r="J27">
            <v>0</v>
          </cell>
          <cell r="K27">
            <v>0</v>
          </cell>
          <cell r="L27">
            <v>0</v>
          </cell>
        </row>
        <row r="28">
          <cell r="B28" t="str">
            <v>AGOE10AC</v>
          </cell>
          <cell r="C28" t="str">
            <v>Agoes Santoso</v>
          </cell>
          <cell r="D28" t="str">
            <v>Siti Aisatul H</v>
          </cell>
          <cell r="E28" t="str">
            <v>Dusun Bacem, RT.003/RW.002, Kel. Panduman, Kec. Jelbuk</v>
          </cell>
          <cell r="F28" t="str">
            <v>Jember</v>
          </cell>
          <cell r="G28" t="str">
            <v>3509224501920002</v>
          </cell>
          <cell r="H28" t="str">
            <v>000000000000000</v>
          </cell>
          <cell r="J28">
            <v>0</v>
          </cell>
          <cell r="K28">
            <v>0</v>
          </cell>
          <cell r="L28">
            <v>0</v>
          </cell>
        </row>
        <row r="29">
          <cell r="B29" t="str">
            <v>AGOE11AC</v>
          </cell>
          <cell r="C29" t="str">
            <v>Agoes Santoso</v>
          </cell>
          <cell r="D29" t="str">
            <v>Totok Suyono</v>
          </cell>
          <cell r="E29" t="str">
            <v>Dusun Dukuh I, RT.002/RW.007, Kel. Banjarsari, Kec. Bangsalsari</v>
          </cell>
          <cell r="F29" t="str">
            <v>Jember</v>
          </cell>
          <cell r="G29" t="str">
            <v>3509092306850009</v>
          </cell>
          <cell r="H29" t="str">
            <v>000000000000000</v>
          </cell>
          <cell r="J29">
            <v>0</v>
          </cell>
          <cell r="K29">
            <v>0</v>
          </cell>
          <cell r="L29">
            <v>0</v>
          </cell>
        </row>
        <row r="30">
          <cell r="B30" t="str">
            <v>AGOE12AC</v>
          </cell>
          <cell r="C30" t="str">
            <v>Agoes Santoso</v>
          </cell>
          <cell r="D30" t="str">
            <v>Yanuariski</v>
          </cell>
          <cell r="E30" t="str">
            <v>Jl. Letjen Panjaitan X/20, RT.001/RW.025, Kel. Kebonsari, Kec. Sumbersari</v>
          </cell>
          <cell r="F30" t="str">
            <v>Jember</v>
          </cell>
          <cell r="G30" t="str">
            <v>3509211501940010</v>
          </cell>
          <cell r="H30" t="str">
            <v>000000000000000</v>
          </cell>
          <cell r="J30">
            <v>0</v>
          </cell>
          <cell r="K30">
            <v>0</v>
          </cell>
          <cell r="L30">
            <v>0</v>
          </cell>
        </row>
        <row r="31">
          <cell r="B31" t="str">
            <v>AGOE13AC</v>
          </cell>
          <cell r="C31" t="str">
            <v>Agoes Santoso</v>
          </cell>
          <cell r="D31" t="str">
            <v>Sony Wijaya</v>
          </cell>
          <cell r="E31" t="str">
            <v>Dusun Jumbatan, RT.005/RW.009, Kel. Darungan, Kec. Tanggung</v>
          </cell>
          <cell r="F31" t="str">
            <v>Jember</v>
          </cell>
          <cell r="G31" t="str">
            <v>3509061405960003</v>
          </cell>
          <cell r="H31" t="str">
            <v>000000000000000</v>
          </cell>
          <cell r="I31" t="str">
            <v>Z23000812 ( 20/4/2023 )</v>
          </cell>
          <cell r="J31">
            <v>0</v>
          </cell>
          <cell r="K31">
            <v>0</v>
          </cell>
          <cell r="L31">
            <v>0</v>
          </cell>
        </row>
        <row r="32">
          <cell r="B32" t="str">
            <v>AGOE14AC</v>
          </cell>
          <cell r="C32" t="str">
            <v>Agoes Santoso</v>
          </cell>
          <cell r="D32" t="str">
            <v>Mohammad Rokip A</v>
          </cell>
          <cell r="E32" t="str">
            <v>Dusun Bringin Lawang, RT.006/RW.005, Kel. Wonojati, Kec. Jenggawah</v>
          </cell>
          <cell r="F32" t="str">
            <v>Jember</v>
          </cell>
          <cell r="G32" t="str">
            <v>3509042912760003</v>
          </cell>
          <cell r="H32" t="str">
            <v>000000000000000</v>
          </cell>
          <cell r="J32">
            <v>0</v>
          </cell>
          <cell r="K32">
            <v>0</v>
          </cell>
          <cell r="L32">
            <v>0</v>
          </cell>
        </row>
        <row r="33">
          <cell r="B33" t="str">
            <v>AGOE15AC</v>
          </cell>
          <cell r="C33" t="str">
            <v>Agoes Santoso</v>
          </cell>
          <cell r="D33" t="str">
            <v>Solehan</v>
          </cell>
          <cell r="E33" t="str">
            <v>Dusun Andongsari, RT.001/RW.011, Kel. Tugusari, Kec. Bangsalsari</v>
          </cell>
          <cell r="F33" t="str">
            <v>Jember</v>
          </cell>
          <cell r="G33" t="str">
            <v>3509090408840003</v>
          </cell>
          <cell r="H33" t="str">
            <v>000000000000000</v>
          </cell>
          <cell r="J33">
            <v>0</v>
          </cell>
          <cell r="K33">
            <v>0</v>
          </cell>
          <cell r="L33">
            <v>0</v>
          </cell>
        </row>
        <row r="34">
          <cell r="B34" t="str">
            <v>AGOE16AC</v>
          </cell>
          <cell r="C34" t="str">
            <v>Agoes Santoso</v>
          </cell>
          <cell r="D34" t="str">
            <v>Yuyut Priyono</v>
          </cell>
          <cell r="E34" t="str">
            <v>Dusun Penitik, RT.001/RW.013, Kel. Wonosari, Kec. Puger</v>
          </cell>
          <cell r="F34" t="str">
            <v>Jember</v>
          </cell>
          <cell r="G34" t="str">
            <v>3509082111760001</v>
          </cell>
          <cell r="H34" t="str">
            <v>000000000000000</v>
          </cell>
          <cell r="I34" t="str">
            <v>Z23001123 ( 17/06/2023 )</v>
          </cell>
          <cell r="J34">
            <v>0</v>
          </cell>
          <cell r="K34">
            <v>0</v>
          </cell>
          <cell r="L34">
            <v>0</v>
          </cell>
        </row>
        <row r="35">
          <cell r="B35" t="str">
            <v>AGOE17AC</v>
          </cell>
          <cell r="C35" t="str">
            <v>Agoes Santoso</v>
          </cell>
          <cell r="D35" t="str">
            <v>Zuliarita Susila A</v>
          </cell>
          <cell r="E35" t="str">
            <v>Dusun Krajan, RT.002/RW.010, Kel. Biting, Kec. Arjasa</v>
          </cell>
          <cell r="F35" t="str">
            <v>Jember</v>
          </cell>
          <cell r="G35" t="str">
            <v>3509220107980219</v>
          </cell>
          <cell r="H35" t="str">
            <v>000000000000000</v>
          </cell>
          <cell r="J35">
            <v>0</v>
          </cell>
          <cell r="K35">
            <v>0</v>
          </cell>
          <cell r="L35">
            <v>0</v>
          </cell>
        </row>
        <row r="36">
          <cell r="B36" t="str">
            <v>AGOE18AC</v>
          </cell>
          <cell r="C36" t="str">
            <v>Agoes Santoso</v>
          </cell>
          <cell r="D36" t="str">
            <v>Sri Wahyuni</v>
          </cell>
          <cell r="E36" t="str">
            <v>Dusun Krajan I, RT.001/RW.015, Kel. Badean, Kec. Bangsalsari</v>
          </cell>
          <cell r="F36" t="str">
            <v>Jember</v>
          </cell>
          <cell r="G36" t="str">
            <v>3509095208770009</v>
          </cell>
          <cell r="H36" t="str">
            <v>000000000000000</v>
          </cell>
          <cell r="J36">
            <v>0</v>
          </cell>
          <cell r="K36">
            <v>0</v>
          </cell>
          <cell r="L36">
            <v>0</v>
          </cell>
        </row>
        <row r="37">
          <cell r="B37" t="str">
            <v>AINU01AC</v>
          </cell>
          <cell r="C37" t="str">
            <v>Ainun/Tanindo</v>
          </cell>
          <cell r="D37" t="str">
            <v>Khoirun Nisa</v>
          </cell>
          <cell r="E37" t="str">
            <v>Dsn. Sempu, RT.003/RW.002, Kel. Sarimulyo, Kec. Cluring</v>
          </cell>
          <cell r="F37" t="str">
            <v>Banyuwangi</v>
          </cell>
          <cell r="G37" t="str">
            <v>3510064603930002</v>
          </cell>
          <cell r="H37" t="str">
            <v>000000000000000</v>
          </cell>
          <cell r="J37">
            <v>0</v>
          </cell>
          <cell r="K37">
            <v>0</v>
          </cell>
          <cell r="L37">
            <v>0</v>
          </cell>
        </row>
        <row r="38">
          <cell r="B38" t="str">
            <v>AINU02AC</v>
          </cell>
          <cell r="C38" t="str">
            <v>Ainun/Tanindo</v>
          </cell>
          <cell r="D38" t="str">
            <v>Agung Anugerah Rizky</v>
          </cell>
          <cell r="E38" t="str">
            <v>Jl. Wijaya Kusuma 10X, RT.003/RW.002, Kel. Boyolangu, Kec. Giri</v>
          </cell>
          <cell r="F38" t="str">
            <v>Banyuwangi</v>
          </cell>
          <cell r="G38" t="str">
            <v>3510143010030003</v>
          </cell>
          <cell r="H38" t="str">
            <v>000000000000000</v>
          </cell>
          <cell r="J38">
            <v>0</v>
          </cell>
          <cell r="K38">
            <v>0</v>
          </cell>
          <cell r="L38">
            <v>0</v>
          </cell>
        </row>
        <row r="39">
          <cell r="B39" t="str">
            <v>AINU03AC</v>
          </cell>
          <cell r="C39" t="str">
            <v>Ainun/Tanindo</v>
          </cell>
          <cell r="D39" t="str">
            <v>Irvan Jama'ah</v>
          </cell>
          <cell r="E39" t="str">
            <v>KP. Tanggulun, RT.006/RW.003, Kel. Lamongan, Kec. Arjasa</v>
          </cell>
          <cell r="F39" t="str">
            <v>Situbondo</v>
          </cell>
          <cell r="G39" t="str">
            <v>3512110206950001</v>
          </cell>
          <cell r="H39" t="str">
            <v>000000000000000</v>
          </cell>
          <cell r="J39">
            <v>0</v>
          </cell>
          <cell r="K39">
            <v>0</v>
          </cell>
          <cell r="L39">
            <v>0</v>
          </cell>
        </row>
        <row r="40">
          <cell r="B40" t="str">
            <v>AINU04AC</v>
          </cell>
          <cell r="C40" t="str">
            <v>Ainun/Tanindo</v>
          </cell>
          <cell r="D40" t="str">
            <v>Sugiyanto</v>
          </cell>
          <cell r="E40" t="str">
            <v>Dsn. Krajan RT.002/RW.005, Kel. Curahnongko, Kec. Tempurejo</v>
          </cell>
          <cell r="F40" t="str">
            <v>Jember</v>
          </cell>
          <cell r="G40" t="str">
            <v>3509182712760003</v>
          </cell>
          <cell r="H40" t="str">
            <v>000000000000000</v>
          </cell>
          <cell r="J40">
            <v>0</v>
          </cell>
          <cell r="K40">
            <v>0</v>
          </cell>
          <cell r="L40">
            <v>0</v>
          </cell>
        </row>
        <row r="41">
          <cell r="B41" t="str">
            <v>ALMU01AC</v>
          </cell>
          <cell r="C41" t="str">
            <v>Al Mubarok/Lutfi</v>
          </cell>
          <cell r="D41" t="str">
            <v>Istifadah</v>
          </cell>
          <cell r="E41" t="str">
            <v>Jl. Sanan A/37, RT.001/RW.014, Kel. Purwantoro, Kec. Blimbing</v>
          </cell>
          <cell r="F41" t="str">
            <v>Malang</v>
          </cell>
          <cell r="G41" t="str">
            <v>3573015303760002</v>
          </cell>
          <cell r="H41" t="str">
            <v>000000000000000</v>
          </cell>
          <cell r="I41" t="str">
            <v>Tahun 2024 tidak masuk Z</v>
          </cell>
          <cell r="J41">
            <v>0</v>
          </cell>
          <cell r="K41">
            <v>0</v>
          </cell>
          <cell r="L41">
            <v>0</v>
          </cell>
        </row>
        <row r="42">
          <cell r="B42" t="str">
            <v>ALMU02AC</v>
          </cell>
          <cell r="C42" t="str">
            <v>Al Mubarok/Lutfi</v>
          </cell>
          <cell r="D42" t="str">
            <v>Istiqomah</v>
          </cell>
          <cell r="E42" t="str">
            <v>Jl. Nakula No.7, RT.002/RW.005, Kel. Polehan, Kec. Blimbing</v>
          </cell>
          <cell r="F42" t="str">
            <v>Malang</v>
          </cell>
          <cell r="G42" t="str">
            <v>3573016905710001</v>
          </cell>
          <cell r="H42" t="str">
            <v>000000000000000</v>
          </cell>
          <cell r="J42">
            <v>0</v>
          </cell>
          <cell r="K42">
            <v>0</v>
          </cell>
          <cell r="L42">
            <v>0</v>
          </cell>
        </row>
        <row r="43">
          <cell r="B43" t="str">
            <v>ALAM01AC</v>
          </cell>
          <cell r="C43" t="str">
            <v>Alam Makmur, UD</v>
          </cell>
          <cell r="D43" t="str">
            <v>Susiana</v>
          </cell>
          <cell r="E43" t="str">
            <v>Dusun Semboro Lor, RT.003/RW.027, Kel. Semboro, Kec. Semboro</v>
          </cell>
          <cell r="F43" t="str">
            <v>Jember</v>
          </cell>
          <cell r="G43" t="str">
            <v>3509074202780001</v>
          </cell>
          <cell r="H43" t="str">
            <v>000000000000000</v>
          </cell>
          <cell r="I43" t="str">
            <v>Gabung Dengan Sahabat Tani, Toko/PurwonoYudha Dian Parwana</v>
          </cell>
          <cell r="J43">
            <v>174696399.99975669</v>
          </cell>
          <cell r="K43">
            <v>0</v>
          </cell>
          <cell r="L43">
            <v>174696399.99975669</v>
          </cell>
        </row>
        <row r="44">
          <cell r="B44" t="str">
            <v>ALAM02AC</v>
          </cell>
          <cell r="C44" t="str">
            <v>Alam Makmur, UD</v>
          </cell>
          <cell r="D44" t="str">
            <v>Wahyu Nugroho</v>
          </cell>
          <cell r="E44" t="str">
            <v>Dusun Beteng, RT.002/RW.002, Kel. Sidomekar, Kec. Semboro</v>
          </cell>
          <cell r="F44" t="str">
            <v>Jember</v>
          </cell>
          <cell r="G44" t="str">
            <v>3509072204840001</v>
          </cell>
          <cell r="H44" t="str">
            <v>000000000000000</v>
          </cell>
          <cell r="J44">
            <v>175869999.99940139</v>
          </cell>
          <cell r="K44">
            <v>6900000</v>
          </cell>
          <cell r="L44">
            <v>182769999.99940139</v>
          </cell>
        </row>
        <row r="45">
          <cell r="B45" t="str">
            <v>ALAM03AC</v>
          </cell>
          <cell r="C45" t="str">
            <v>Alam Makmur, UD</v>
          </cell>
          <cell r="D45" t="str">
            <v>Arif Dwi Saputro</v>
          </cell>
          <cell r="E45" t="str">
            <v>Dusun Semboro Kidul, RT.003/RW.001, Kel. Semboro, Kec. Semboro</v>
          </cell>
          <cell r="F45" t="str">
            <v>Jember</v>
          </cell>
          <cell r="G45" t="str">
            <v>3509072206910002</v>
          </cell>
          <cell r="H45" t="str">
            <v>000000000000000</v>
          </cell>
          <cell r="J45">
            <v>194407199.9995743</v>
          </cell>
          <cell r="K45">
            <v>0</v>
          </cell>
          <cell r="L45">
            <v>194407199.9995743</v>
          </cell>
        </row>
        <row r="46">
          <cell r="B46" t="str">
            <v>ALAM04AC</v>
          </cell>
          <cell r="C46" t="str">
            <v>Alam Makmur, UD</v>
          </cell>
          <cell r="D46" t="str">
            <v>Asmin</v>
          </cell>
          <cell r="E46" t="str">
            <v>Dusun Semboro Lor, RT.002/RW.031, Kel. Semboro, Kec. Semboro</v>
          </cell>
          <cell r="F46" t="str">
            <v>Jember</v>
          </cell>
          <cell r="G46" t="str">
            <v>3509070608700005</v>
          </cell>
          <cell r="H46" t="str">
            <v>000000000000000</v>
          </cell>
          <cell r="J46">
            <v>171342799.99835399</v>
          </cell>
          <cell r="K46">
            <v>0</v>
          </cell>
          <cell r="L46">
            <v>171342799.99835399</v>
          </cell>
        </row>
        <row r="47">
          <cell r="B47" t="str">
            <v>ALIM02AC</v>
          </cell>
          <cell r="C47" t="str">
            <v>Alimubro</v>
          </cell>
          <cell r="D47" t="str">
            <v>Ampun Nyoto</v>
          </cell>
          <cell r="E47" t="str">
            <v>Talangrejo, RT.001/RW.005, Kel. Gunungsari, Kec. Bumiaji</v>
          </cell>
          <cell r="F47" t="str">
            <v>Batu</v>
          </cell>
          <cell r="G47" t="str">
            <v>3579022412820002</v>
          </cell>
          <cell r="H47" t="str">
            <v>000000000000000</v>
          </cell>
          <cell r="J47">
            <v>41055999.999949999</v>
          </cell>
          <cell r="K47">
            <v>0</v>
          </cell>
          <cell r="L47">
            <v>41055999.999949999</v>
          </cell>
        </row>
        <row r="48">
          <cell r="B48" t="str">
            <v>ALIM03AC</v>
          </cell>
          <cell r="C48" t="str">
            <v>Alimubro</v>
          </cell>
          <cell r="D48" t="str">
            <v>Lasenan</v>
          </cell>
          <cell r="E48" t="str">
            <v>Talangrejo, RT.001/RW.005, Kel. Gunungsari, Kec. Bumiaji</v>
          </cell>
          <cell r="F48" t="str">
            <v>Batu</v>
          </cell>
          <cell r="G48" t="str">
            <v>3579020201460001</v>
          </cell>
          <cell r="H48" t="str">
            <v>000000000000000</v>
          </cell>
          <cell r="J48">
            <v>19535999.999991</v>
          </cell>
          <cell r="K48">
            <v>0</v>
          </cell>
          <cell r="L48">
            <v>19535999.999991</v>
          </cell>
        </row>
        <row r="49">
          <cell r="B49" t="str">
            <v>ALIM04AC</v>
          </cell>
          <cell r="C49" t="str">
            <v>Alimubro</v>
          </cell>
          <cell r="D49" t="str">
            <v>Ibnu Mas'ud</v>
          </cell>
          <cell r="E49" t="str">
            <v>Talangsari, RT.005/RW.005, Kel.Gunungsari, Kec. Bumiaji</v>
          </cell>
          <cell r="F49" t="str">
            <v>Batu</v>
          </cell>
          <cell r="G49" t="str">
            <v>3579022208680002</v>
          </cell>
          <cell r="H49" t="str">
            <v>000000000000000</v>
          </cell>
          <cell r="J49">
            <v>17508000</v>
          </cell>
          <cell r="K49">
            <v>0</v>
          </cell>
          <cell r="L49">
            <v>17508000</v>
          </cell>
        </row>
        <row r="50">
          <cell r="B50" t="str">
            <v>ALME01AC</v>
          </cell>
          <cell r="C50" t="str">
            <v>Almeera Tani/Alif</v>
          </cell>
          <cell r="D50" t="str">
            <v>Alif Mualifah</v>
          </cell>
          <cell r="E50" t="str">
            <v>Jl. Budi Utomo RT.003/RW.003, Kel. Ronowijayan, Kec. Siman</v>
          </cell>
          <cell r="F50" t="str">
            <v>Ponorogo</v>
          </cell>
          <cell r="G50" t="str">
            <v>3502104804820003</v>
          </cell>
          <cell r="H50" t="str">
            <v>000000000000000</v>
          </cell>
          <cell r="J50">
            <v>264240000</v>
          </cell>
          <cell r="K50">
            <v>0</v>
          </cell>
          <cell r="L50">
            <v>264240000</v>
          </cell>
        </row>
        <row r="51">
          <cell r="B51" t="str">
            <v>ALME02AC</v>
          </cell>
          <cell r="C51" t="str">
            <v>Almeera Tani/Alif</v>
          </cell>
          <cell r="D51" t="str">
            <v>Rudiyanto</v>
          </cell>
          <cell r="E51" t="str">
            <v>Dsn Sumberurip, RT.002/RW.011, kel. Barurejo, Kec. Siliragung</v>
          </cell>
          <cell r="F51" t="str">
            <v>Banyuwangi</v>
          </cell>
          <cell r="G51" t="str">
            <v>3510220812880004</v>
          </cell>
          <cell r="H51" t="str">
            <v>000000000000000</v>
          </cell>
          <cell r="J51">
            <v>246544000</v>
          </cell>
          <cell r="K51">
            <v>0</v>
          </cell>
          <cell r="L51">
            <v>246544000</v>
          </cell>
        </row>
        <row r="52">
          <cell r="B52" t="str">
            <v>ALME03AC</v>
          </cell>
          <cell r="C52" t="str">
            <v>Almeera Tani/Alif</v>
          </cell>
          <cell r="D52" t="str">
            <v>Supriadi</v>
          </cell>
          <cell r="E52" t="str">
            <v>Dsn Kaligesing, RT.001/RW.001, Kel. Karangmulyo, Kec. Tegalsari</v>
          </cell>
          <cell r="F52" t="str">
            <v>Banyuwangi</v>
          </cell>
          <cell r="G52" t="str">
            <v>3510232602820002</v>
          </cell>
          <cell r="H52" t="str">
            <v>000000000000000</v>
          </cell>
          <cell r="J52">
            <v>242880000</v>
          </cell>
          <cell r="K52">
            <v>0</v>
          </cell>
          <cell r="L52">
            <v>242880000</v>
          </cell>
        </row>
        <row r="53">
          <cell r="B53" t="str">
            <v>ALME04AC</v>
          </cell>
          <cell r="C53" t="str">
            <v>Almeera Tani/Alif</v>
          </cell>
          <cell r="D53" t="str">
            <v>Efendi</v>
          </cell>
          <cell r="E53" t="str">
            <v>Kp Kidul RT.001/RW.004 , Kel. Kandang Kec. Kapongan</v>
          </cell>
          <cell r="F53" t="str">
            <v>Situbondo</v>
          </cell>
          <cell r="G53" t="str">
            <v>3512101709890003</v>
          </cell>
          <cell r="H53" t="str">
            <v>000000000000000</v>
          </cell>
          <cell r="J53">
            <v>1664000</v>
          </cell>
          <cell r="K53">
            <v>0</v>
          </cell>
          <cell r="L53">
            <v>1664000</v>
          </cell>
        </row>
        <row r="54">
          <cell r="B54" t="str">
            <v>ALME05AC</v>
          </cell>
          <cell r="C54" t="str">
            <v>Almeera Tani/Alif</v>
          </cell>
          <cell r="D54" t="str">
            <v>Anwar</v>
          </cell>
          <cell r="E54" t="str">
            <v>Dusun Krajan RT.004/RW.001 , Kel. Curah Tatal Kec. Arjasa</v>
          </cell>
          <cell r="F54" t="str">
            <v>Situbondo</v>
          </cell>
          <cell r="G54" t="str">
            <v>3512111012800003</v>
          </cell>
          <cell r="H54" t="str">
            <v>000000000000000</v>
          </cell>
          <cell r="J54">
            <v>13440000</v>
          </cell>
          <cell r="K54">
            <v>0</v>
          </cell>
          <cell r="L54">
            <v>13440000</v>
          </cell>
        </row>
        <row r="55">
          <cell r="B55" t="str">
            <v>ALME06AC</v>
          </cell>
          <cell r="C55" t="str">
            <v>Almeera Tani/Alif</v>
          </cell>
          <cell r="D55" t="str">
            <v>Dahliyatin</v>
          </cell>
          <cell r="E55" t="str">
            <v>Kp Cangkring RT.003/RW.003 , Kel. Curah Tatal Kec. Arjasa</v>
          </cell>
          <cell r="F55" t="str">
            <v>Situbondo</v>
          </cell>
          <cell r="G55" t="str">
            <v>3512114107990152</v>
          </cell>
          <cell r="H55" t="str">
            <v>000000000000000</v>
          </cell>
          <cell r="J55">
            <v>13440000</v>
          </cell>
          <cell r="K55">
            <v>0</v>
          </cell>
          <cell r="L55">
            <v>13440000</v>
          </cell>
        </row>
        <row r="56">
          <cell r="B56" t="str">
            <v>ALME07AC</v>
          </cell>
          <cell r="C56" t="str">
            <v>Almeera Tani/Alif</v>
          </cell>
          <cell r="D56" t="str">
            <v>Zubaidah</v>
          </cell>
          <cell r="E56" t="str">
            <v>Dusun Krajan RT.027/RW.006 , Kel. Jambeanom Kec. Jambesari Darus Sholah</v>
          </cell>
          <cell r="F56" t="str">
            <v>Bondowoso</v>
          </cell>
          <cell r="G56" t="str">
            <v>3511225609020001</v>
          </cell>
          <cell r="H56" t="str">
            <v>000000000000000</v>
          </cell>
          <cell r="J56">
            <v>0</v>
          </cell>
          <cell r="K56">
            <v>0</v>
          </cell>
          <cell r="L56">
            <v>0</v>
          </cell>
        </row>
        <row r="57">
          <cell r="B57" t="str">
            <v>ALME08AC</v>
          </cell>
          <cell r="C57" t="str">
            <v>Almeera Tani/Alif</v>
          </cell>
          <cell r="J57">
            <v>0</v>
          </cell>
          <cell r="K57">
            <v>0</v>
          </cell>
          <cell r="L57">
            <v>0</v>
          </cell>
        </row>
        <row r="58">
          <cell r="B58" t="str">
            <v>ALME09AC</v>
          </cell>
          <cell r="C58" t="str">
            <v>Almeera Tani/Alif</v>
          </cell>
          <cell r="J58">
            <v>0</v>
          </cell>
          <cell r="K58">
            <v>0</v>
          </cell>
          <cell r="L58">
            <v>0</v>
          </cell>
        </row>
        <row r="59">
          <cell r="B59" t="str">
            <v>ALME10AC</v>
          </cell>
          <cell r="C59" t="str">
            <v>Almeera Tani/Alif</v>
          </cell>
          <cell r="J59">
            <v>0</v>
          </cell>
          <cell r="K59">
            <v>0</v>
          </cell>
          <cell r="L59">
            <v>0</v>
          </cell>
        </row>
        <row r="60">
          <cell r="B60" t="str">
            <v>ALME11AC</v>
          </cell>
          <cell r="C60" t="str">
            <v>Almeera Tani/Alif</v>
          </cell>
          <cell r="J60">
            <v>0</v>
          </cell>
          <cell r="K60">
            <v>0</v>
          </cell>
          <cell r="L60">
            <v>0</v>
          </cell>
        </row>
        <row r="61">
          <cell r="B61" t="str">
            <v>ALME12AC</v>
          </cell>
          <cell r="C61" t="str">
            <v>Almeera Tani/Alif</v>
          </cell>
          <cell r="J61">
            <v>0</v>
          </cell>
          <cell r="K61">
            <v>0</v>
          </cell>
          <cell r="L61">
            <v>0</v>
          </cell>
        </row>
        <row r="62">
          <cell r="B62" t="str">
            <v>ALME13AC</v>
          </cell>
          <cell r="C62" t="str">
            <v>Almeera Tani/Alif</v>
          </cell>
          <cell r="J62">
            <v>0</v>
          </cell>
          <cell r="K62">
            <v>0</v>
          </cell>
          <cell r="L62">
            <v>0</v>
          </cell>
        </row>
        <row r="63">
          <cell r="B63" t="str">
            <v>ALME14AC</v>
          </cell>
          <cell r="C63" t="str">
            <v>Almeera Tani/Alif</v>
          </cell>
          <cell r="J63">
            <v>0</v>
          </cell>
          <cell r="K63">
            <v>0</v>
          </cell>
          <cell r="L63">
            <v>0</v>
          </cell>
        </row>
        <row r="64">
          <cell r="B64" t="str">
            <v>HART01AC</v>
          </cell>
          <cell r="C64" t="str">
            <v>Anda Jaya, Toko/Hartman Gunawan</v>
          </cell>
          <cell r="D64" t="str">
            <v>Masni</v>
          </cell>
          <cell r="E64" t="str">
            <v>Jl. Gajah Mada RT.023/RW.000, Kel. Karang Anyar Pantai, Kec. Tarakan Barat</v>
          </cell>
          <cell r="F64" t="str">
            <v>Tarakan</v>
          </cell>
          <cell r="G64" t="str">
            <v>6473017009830003</v>
          </cell>
          <cell r="H64" t="str">
            <v>000000000000000</v>
          </cell>
          <cell r="J64">
            <v>0</v>
          </cell>
          <cell r="K64">
            <v>0</v>
          </cell>
          <cell r="L64">
            <v>0</v>
          </cell>
        </row>
        <row r="65">
          <cell r="B65" t="str">
            <v>HART02AC</v>
          </cell>
          <cell r="C65" t="str">
            <v>Anda Jaya, Toko/Hartman Gunawan</v>
          </cell>
          <cell r="D65" t="str">
            <v>Abdullah Syukur K</v>
          </cell>
          <cell r="E65" t="str">
            <v>Tikatukang, RT.003/RW.002, Kel. Tikatukang, Kec. Adonara</v>
          </cell>
          <cell r="F65" t="str">
            <v>Flores Timur</v>
          </cell>
          <cell r="G65" t="str">
            <v>5306170201950001</v>
          </cell>
          <cell r="H65" t="str">
            <v>000000000000000</v>
          </cell>
          <cell r="J65">
            <v>0</v>
          </cell>
          <cell r="K65">
            <v>0</v>
          </cell>
          <cell r="L65">
            <v>0</v>
          </cell>
        </row>
        <row r="66">
          <cell r="B66" t="str">
            <v>HART03AC</v>
          </cell>
          <cell r="C66" t="str">
            <v>Anda Jaya, Toko/Hartman Gunawan</v>
          </cell>
          <cell r="D66" t="str">
            <v>Fendi</v>
          </cell>
          <cell r="E66" t="str">
            <v>Dsn. Serundung Permai, RT.005/RW.003, Kel. Tanjung Niaga, Kec. Nanga Pinoh</v>
          </cell>
          <cell r="F66" t="str">
            <v>Melawi</v>
          </cell>
          <cell r="G66" t="str">
            <v>6110022501910002</v>
          </cell>
          <cell r="H66" t="str">
            <v>000000000000000</v>
          </cell>
          <cell r="J66">
            <v>0</v>
          </cell>
          <cell r="K66">
            <v>0</v>
          </cell>
          <cell r="L66">
            <v>0</v>
          </cell>
        </row>
        <row r="67">
          <cell r="B67" t="str">
            <v>HART04AC</v>
          </cell>
          <cell r="C67" t="str">
            <v>Anda Jaya, Toko/Hartman Gunawan</v>
          </cell>
          <cell r="D67" t="str">
            <v>Makximus Sesarius B</v>
          </cell>
          <cell r="E67" t="str">
            <v>Amakaka, RT.001/RW.001, Kel. Amakaka, Kec. Ile Ape</v>
          </cell>
          <cell r="F67" t="str">
            <v>Lembata</v>
          </cell>
          <cell r="G67" t="str">
            <v>5313032708980005</v>
          </cell>
          <cell r="H67" t="str">
            <v>000000000000000</v>
          </cell>
          <cell r="J67">
            <v>0</v>
          </cell>
          <cell r="K67">
            <v>0</v>
          </cell>
          <cell r="L67">
            <v>0</v>
          </cell>
        </row>
        <row r="68">
          <cell r="B68" t="str">
            <v>HART05AC</v>
          </cell>
          <cell r="C68" t="str">
            <v>Anda Jaya, Toko/Hartman Gunawan</v>
          </cell>
          <cell r="D68" t="str">
            <v>Yohanes Kopong S</v>
          </cell>
          <cell r="E68" t="str">
            <v>Jl. KH. Dewantara, RT.005/RW.000, Kel. Karang Balik, Kec. Tarakan Barat</v>
          </cell>
          <cell r="F68" t="str">
            <v>Tarakan</v>
          </cell>
          <cell r="G68" t="str">
            <v>6473011410840001</v>
          </cell>
          <cell r="H68" t="str">
            <v>000000000000000</v>
          </cell>
          <cell r="J68">
            <v>0</v>
          </cell>
          <cell r="K68">
            <v>0</v>
          </cell>
          <cell r="L68">
            <v>0</v>
          </cell>
        </row>
        <row r="69">
          <cell r="B69" t="str">
            <v>HART06AC</v>
          </cell>
          <cell r="C69" t="str">
            <v>Anda Jaya, Toko/Hartman Gunawan</v>
          </cell>
          <cell r="D69" t="str">
            <v>Riksan Risandi</v>
          </cell>
          <cell r="E69" t="str">
            <v>Jl. Pasar Baru Enrekang, RT.000/RW.000, Kel. Juppandang, Kec. Enrekang</v>
          </cell>
          <cell r="F69" t="str">
            <v>Enrekang</v>
          </cell>
          <cell r="G69" t="str">
            <v>7316020608970003</v>
          </cell>
          <cell r="H69" t="str">
            <v>000000000000000</v>
          </cell>
          <cell r="J69">
            <v>0</v>
          </cell>
          <cell r="K69">
            <v>0</v>
          </cell>
          <cell r="L69">
            <v>0</v>
          </cell>
        </row>
        <row r="70">
          <cell r="B70" t="str">
            <v>HART07AC</v>
          </cell>
          <cell r="C70" t="str">
            <v>Anda Jaya, Toko/Hartman Gunawan</v>
          </cell>
          <cell r="D70" t="str">
            <v>Hasan</v>
          </cell>
          <cell r="E70" t="str">
            <v>Jl. Kedondong, RT.001/RW.000, Kel. Kampung Empat, Kec. Tarakan Timur</v>
          </cell>
          <cell r="F70" t="str">
            <v>Tarakan</v>
          </cell>
          <cell r="G70" t="str">
            <v>6473030805570001</v>
          </cell>
          <cell r="H70" t="str">
            <v>000000000000000</v>
          </cell>
          <cell r="J70">
            <v>0</v>
          </cell>
          <cell r="K70">
            <v>0</v>
          </cell>
          <cell r="L70">
            <v>0</v>
          </cell>
        </row>
        <row r="71">
          <cell r="B71" t="str">
            <v>HART08AC</v>
          </cell>
          <cell r="C71" t="str">
            <v>Anda Jaya, Toko/Hartman Gunawan</v>
          </cell>
          <cell r="D71" t="str">
            <v>Dominikus Doni W</v>
          </cell>
          <cell r="E71" t="str">
            <v>Jl. Danau Jempang No.66, RT.005/RW.000, Kel. Pamusian, Kec. Tarakan Tengah</v>
          </cell>
          <cell r="F71" t="str">
            <v>Tarakan</v>
          </cell>
          <cell r="G71" t="str">
            <v>6473021404840010</v>
          </cell>
          <cell r="H71" t="str">
            <v>000000000000000</v>
          </cell>
          <cell r="J71">
            <v>0</v>
          </cell>
          <cell r="K71">
            <v>0</v>
          </cell>
          <cell r="L71">
            <v>0</v>
          </cell>
        </row>
        <row r="72">
          <cell r="B72" t="str">
            <v>ANUG01AC</v>
          </cell>
          <cell r="C72" t="str">
            <v>Anugrah Tani/Agung</v>
          </cell>
          <cell r="D72" t="str">
            <v>Sita Widyaningrum</v>
          </cell>
          <cell r="E72" t="str">
            <v>Dsn. Jugo, RT.010/RW.002, Kel. Jugo, Kec. Mojo</v>
          </cell>
          <cell r="F72" t="str">
            <v>Kediri</v>
          </cell>
          <cell r="G72" t="str">
            <v>3506024101900001</v>
          </cell>
          <cell r="H72" t="str">
            <v>000000000000000</v>
          </cell>
          <cell r="I72" t="str">
            <v xml:space="preserve"> Per 11/02/2023 Lapor Pakai NPW An : CV. Anugerah Tani Agro </v>
          </cell>
          <cell r="J72">
            <v>0</v>
          </cell>
          <cell r="K72">
            <v>0</v>
          </cell>
          <cell r="L72">
            <v>0</v>
          </cell>
        </row>
        <row r="73">
          <cell r="B73" t="str">
            <v>ANUG02AC</v>
          </cell>
          <cell r="C73" t="str">
            <v>Anugrah Tani/Agung</v>
          </cell>
          <cell r="D73" t="str">
            <v>Miftachul Munir</v>
          </cell>
          <cell r="E73" t="str">
            <v>Dsn. Sekoto, RT.002/RW. 005, Kel. Sekoto, Kec. Badas</v>
          </cell>
          <cell r="F73" t="str">
            <v>Kediri</v>
          </cell>
          <cell r="G73" t="str">
            <v>3506262102920001</v>
          </cell>
          <cell r="H73" t="str">
            <v>000000000000000</v>
          </cell>
          <cell r="J73">
            <v>0</v>
          </cell>
          <cell r="K73">
            <v>0</v>
          </cell>
          <cell r="L73">
            <v>0</v>
          </cell>
        </row>
        <row r="74">
          <cell r="B74" t="str">
            <v>ANUG03AC</v>
          </cell>
          <cell r="C74" t="str">
            <v>Anugrah Tani/Agung</v>
          </cell>
          <cell r="D74" t="str">
            <v>Martialis Martiah</v>
          </cell>
          <cell r="E74" t="str">
            <v>Dsn. Sekaran Kidul, RT.002/RW.001, Kel. Sekaran, Kec. Kayen Kidul</v>
          </cell>
          <cell r="F74" t="str">
            <v>Kediri</v>
          </cell>
          <cell r="G74" t="str">
            <v>3506244707610002</v>
          </cell>
          <cell r="H74" t="str">
            <v>000000000000000</v>
          </cell>
          <cell r="J74">
            <v>0</v>
          </cell>
          <cell r="K74">
            <v>0</v>
          </cell>
          <cell r="L74">
            <v>0</v>
          </cell>
        </row>
        <row r="75">
          <cell r="B75" t="str">
            <v>ANUG04AC</v>
          </cell>
          <cell r="C75" t="str">
            <v>Anugrah Tani/Agung</v>
          </cell>
          <cell r="D75" t="str">
            <v>Bambang Sudaryanto</v>
          </cell>
          <cell r="E75" t="str">
            <v>Jl. DR. Sutomo No. 23 A , RT.002/ RW.003, Kel. Pelem, Kec. Pare</v>
          </cell>
          <cell r="F75" t="str">
            <v>Kediri</v>
          </cell>
          <cell r="G75" t="str">
            <v>3506172405760002</v>
          </cell>
          <cell r="H75" t="str">
            <v>000000000000000</v>
          </cell>
          <cell r="J75">
            <v>0</v>
          </cell>
          <cell r="K75">
            <v>0</v>
          </cell>
          <cell r="L75">
            <v>0</v>
          </cell>
        </row>
        <row r="76">
          <cell r="B76" t="str">
            <v>ANUG05AC</v>
          </cell>
          <cell r="C76" t="str">
            <v>Anugrah Tani/Agung</v>
          </cell>
          <cell r="D76" t="str">
            <v>Eka Agus Triyanto</v>
          </cell>
          <cell r="E76" t="str">
            <v>Jl. Mas II, RT002/RW.006 Kel. Pelem, Kec. Pare</v>
          </cell>
          <cell r="F76" t="str">
            <v>Kediri</v>
          </cell>
          <cell r="G76" t="str">
            <v>3506171408900001</v>
          </cell>
          <cell r="H76" t="str">
            <v>000000000000000</v>
          </cell>
          <cell r="I76" t="str">
            <v>jgn dipakai, cz kena periksa</v>
          </cell>
          <cell r="J76">
            <v>0</v>
          </cell>
          <cell r="K76">
            <v>0</v>
          </cell>
          <cell r="L76">
            <v>0</v>
          </cell>
        </row>
        <row r="77">
          <cell r="B77" t="str">
            <v>ANUG06AC</v>
          </cell>
          <cell r="C77" t="str">
            <v>Anugrah Tani/Agung</v>
          </cell>
          <cell r="D77" t="str">
            <v>Winarko</v>
          </cell>
          <cell r="E77" t="str">
            <v>Jl. Merapi, RT.001/RW.008, Kel. Kandangan, Kec. Kandangan</v>
          </cell>
          <cell r="F77" t="str">
            <v>Kediri</v>
          </cell>
          <cell r="G77" t="str">
            <v>3506192209800001</v>
          </cell>
          <cell r="H77" t="str">
            <v>000000000000000</v>
          </cell>
          <cell r="J77">
            <v>0</v>
          </cell>
          <cell r="K77">
            <v>0</v>
          </cell>
          <cell r="L77">
            <v>0</v>
          </cell>
        </row>
        <row r="78">
          <cell r="B78" t="str">
            <v>ANUG07AC</v>
          </cell>
          <cell r="C78" t="str">
            <v>Anugrah Tani/Agung</v>
          </cell>
          <cell r="D78" t="str">
            <v>Ahmad Andika Risma</v>
          </cell>
          <cell r="E78" t="str">
            <v>Sumber Agung, RT.003/RW.005, Kel. Krecek, Kec. Badas</v>
          </cell>
          <cell r="F78" t="str">
            <v>Kediri</v>
          </cell>
          <cell r="G78" t="str">
            <v>3506260303930003</v>
          </cell>
          <cell r="H78" t="str">
            <v>000000000000000</v>
          </cell>
          <cell r="J78">
            <v>0</v>
          </cell>
          <cell r="K78">
            <v>0</v>
          </cell>
          <cell r="L78">
            <v>0</v>
          </cell>
        </row>
        <row r="79">
          <cell r="B79" t="str">
            <v>ANUG08AC</v>
          </cell>
          <cell r="C79" t="str">
            <v>Anugrah Tani/Agung</v>
          </cell>
          <cell r="D79" t="str">
            <v>Bambang Prasetyo</v>
          </cell>
          <cell r="E79" t="str">
            <v>Dsn. Jugo, RT.011/RW.002, Kel. Jugo, Kec. Mojo</v>
          </cell>
          <cell r="F79" t="str">
            <v>Kediri</v>
          </cell>
          <cell r="G79" t="str">
            <v>3506020708770005</v>
          </cell>
          <cell r="H79" t="str">
            <v>000000000000000</v>
          </cell>
          <cell r="J79">
            <v>0</v>
          </cell>
          <cell r="K79">
            <v>0</v>
          </cell>
          <cell r="L79">
            <v>0</v>
          </cell>
        </row>
        <row r="80">
          <cell r="B80" t="str">
            <v>ANUG09AC</v>
          </cell>
          <cell r="C80" t="str">
            <v>Anugrah Tani/Agung</v>
          </cell>
          <cell r="D80" t="str">
            <v>Dwi Harijanto</v>
          </cell>
          <cell r="E80" t="str">
            <v>Ky. Sahlan 13/50, RT.004/RW.001, Kel. Manyarsidomukti, Kec. Manyar</v>
          </cell>
          <cell r="F80" t="str">
            <v>Gresik</v>
          </cell>
          <cell r="G80" t="str">
            <v>3525100306780004</v>
          </cell>
          <cell r="H80" t="str">
            <v>000000000000000</v>
          </cell>
          <cell r="J80">
            <v>0</v>
          </cell>
          <cell r="K80">
            <v>0</v>
          </cell>
          <cell r="L80">
            <v>0</v>
          </cell>
        </row>
        <row r="81">
          <cell r="B81" t="str">
            <v>ANUG10AC</v>
          </cell>
          <cell r="C81" t="str">
            <v>Anugrah Tani/Agung</v>
          </cell>
          <cell r="D81" t="str">
            <v>Fitri Indriasari</v>
          </cell>
          <cell r="E81" t="str">
            <v>Jl. DR. Sutomo No. 23 A , RT.002/ RW.003, Kel. Pelem, Kec. Pare</v>
          </cell>
          <cell r="F81" t="str">
            <v>Kediri</v>
          </cell>
          <cell r="G81" t="str">
            <v>3506174709780001</v>
          </cell>
          <cell r="H81" t="str">
            <v>000000000000000</v>
          </cell>
          <cell r="J81">
            <v>0</v>
          </cell>
          <cell r="K81">
            <v>0</v>
          </cell>
          <cell r="L81">
            <v>0</v>
          </cell>
        </row>
        <row r="82">
          <cell r="B82" t="str">
            <v>ANUG11AC</v>
          </cell>
          <cell r="C82" t="str">
            <v>Anugrah Tani/Agung</v>
          </cell>
          <cell r="D82" t="str">
            <v>Nailul Istiqomah</v>
          </cell>
          <cell r="E82" t="str">
            <v>Jl. Masjid, RT.002/RW.003, Kel. Sumberbendo, Kec. Pare</v>
          </cell>
          <cell r="F82" t="str">
            <v>Kediri</v>
          </cell>
          <cell r="G82" t="str">
            <v>3506176706890002</v>
          </cell>
          <cell r="H82" t="str">
            <v>000000000000000</v>
          </cell>
          <cell r="J82">
            <v>0</v>
          </cell>
          <cell r="K82">
            <v>0</v>
          </cell>
          <cell r="L82">
            <v>0</v>
          </cell>
        </row>
        <row r="83">
          <cell r="B83" t="str">
            <v>ANUG12AC</v>
          </cell>
          <cell r="C83" t="str">
            <v>Anugrah Tani/Agung</v>
          </cell>
          <cell r="D83" t="str">
            <v>Ainun Rofiq</v>
          </cell>
          <cell r="E83" t="str">
            <v>Dsn. Sumber Agung, RT.001/RW.008, Kel. Krecek, Kec. Badas</v>
          </cell>
          <cell r="F83" t="str">
            <v>Kediri</v>
          </cell>
          <cell r="G83" t="str">
            <v>3506260510870002</v>
          </cell>
          <cell r="H83" t="str">
            <v>000000000000000</v>
          </cell>
          <cell r="J83">
            <v>0</v>
          </cell>
          <cell r="K83">
            <v>0</v>
          </cell>
          <cell r="L83">
            <v>0</v>
          </cell>
        </row>
        <row r="84">
          <cell r="B84" t="str">
            <v>ANUG13AC</v>
          </cell>
          <cell r="C84" t="str">
            <v>Anugrah Tani/Agung</v>
          </cell>
          <cell r="D84" t="str">
            <v>Meri Sunarto</v>
          </cell>
          <cell r="E84" t="str">
            <v>Dsn. Sumber Agung, RT.001/RW.008, Kel. Krecek, Kec. Badas</v>
          </cell>
          <cell r="F84" t="str">
            <v>Kediri</v>
          </cell>
          <cell r="G84" t="str">
            <v>3506166003950004</v>
          </cell>
          <cell r="H84" t="str">
            <v>000000000000000</v>
          </cell>
          <cell r="J84">
            <v>0</v>
          </cell>
          <cell r="K84">
            <v>0</v>
          </cell>
          <cell r="L84">
            <v>0</v>
          </cell>
        </row>
        <row r="85">
          <cell r="B85" t="str">
            <v>ANUG14AC</v>
          </cell>
          <cell r="C85" t="str">
            <v>Anugrah Tani/Agung</v>
          </cell>
          <cell r="D85" t="str">
            <v>Yosafat Mujadi</v>
          </cell>
          <cell r="E85" t="str">
            <v>Dsn. Sekaran Kidul, RT.002/RW.001, Kel. Sekaran, Kec. Kayen Kidul</v>
          </cell>
          <cell r="F85" t="str">
            <v>Kediri</v>
          </cell>
          <cell r="G85" t="str">
            <v>3506241010500001</v>
          </cell>
          <cell r="H85" t="str">
            <v>000000000000000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ANUG15AC</v>
          </cell>
          <cell r="C86" t="str">
            <v>Anugrah Tani/Agung</v>
          </cell>
          <cell r="D86" t="str">
            <v>Pendik Kardianta</v>
          </cell>
          <cell r="E86" t="str">
            <v>Dsn. Kwaringan, RT.002/RW.001, Kel.Mlancu, Kec. Kandangan</v>
          </cell>
          <cell r="F86" t="str">
            <v>Kediri</v>
          </cell>
          <cell r="G86" t="str">
            <v>3505170605850002</v>
          </cell>
          <cell r="H86" t="str">
            <v>000000000000000</v>
          </cell>
          <cell r="J86">
            <v>0</v>
          </cell>
          <cell r="K86">
            <v>0</v>
          </cell>
          <cell r="L86">
            <v>0</v>
          </cell>
        </row>
        <row r="87">
          <cell r="B87" t="str">
            <v>ANUG16AC</v>
          </cell>
          <cell r="C87" t="str">
            <v>Anugrah Tani/Agung</v>
          </cell>
          <cell r="D87" t="str">
            <v>Tutik Wijayanti</v>
          </cell>
          <cell r="E87" t="str">
            <v>Dsn. Kwaringan, RT.002/RW.001, Kel.Mlancu, Kec. Kandangan</v>
          </cell>
          <cell r="F87" t="str">
            <v>Kediri</v>
          </cell>
          <cell r="G87" t="str">
            <v>3506195308920003</v>
          </cell>
          <cell r="H87" t="str">
            <v>000000000000000</v>
          </cell>
          <cell r="J87">
            <v>0</v>
          </cell>
          <cell r="K87">
            <v>0</v>
          </cell>
          <cell r="L87">
            <v>0</v>
          </cell>
        </row>
        <row r="88">
          <cell r="B88" t="str">
            <v>ANUG17AC</v>
          </cell>
          <cell r="C88" t="str">
            <v>Anugrah Tani/Agung</v>
          </cell>
          <cell r="D88" t="str">
            <v>Ahmad Khabib</v>
          </cell>
          <cell r="E88" t="str">
            <v>Dsn. Candirejo, RT.003/RW.011, Kel. Tegowangi, Kec. Plemahan</v>
          </cell>
          <cell r="F88" t="str">
            <v>Kediri</v>
          </cell>
          <cell r="G88" t="str">
            <v>3506162505850005</v>
          </cell>
          <cell r="H88" t="str">
            <v>000000000000000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ANUG18AC</v>
          </cell>
          <cell r="C89" t="str">
            <v>Anugrah Tani/Agung</v>
          </cell>
          <cell r="D89" t="str">
            <v>Anggyn Novia</v>
          </cell>
          <cell r="E89" t="str">
            <v>Jl. Sultan Agung, RT.003/RW.000, Kel. Sekoto, Kec. Badas</v>
          </cell>
          <cell r="F89" t="str">
            <v>Kediri</v>
          </cell>
          <cell r="G89" t="str">
            <v>3506264811950001</v>
          </cell>
          <cell r="H89" t="str">
            <v>000000000000000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ANUG19AC</v>
          </cell>
          <cell r="C90" t="str">
            <v>Anugrah Tani/Agung</v>
          </cell>
          <cell r="D90" t="str">
            <v>Agus Yulianto</v>
          </cell>
          <cell r="E90" t="str">
            <v>Jl. Masjid, RT.002/RW.003, Kel. Sumberbendo, Kec. Pare</v>
          </cell>
          <cell r="F90" t="str">
            <v>Kediri</v>
          </cell>
          <cell r="G90" t="str">
            <v>3506172107860003</v>
          </cell>
          <cell r="H90" t="str">
            <v>000000000000000</v>
          </cell>
          <cell r="J90">
            <v>0</v>
          </cell>
          <cell r="K90">
            <v>0</v>
          </cell>
          <cell r="L90">
            <v>0</v>
          </cell>
        </row>
        <row r="91">
          <cell r="B91" t="str">
            <v>ANUG20AC</v>
          </cell>
          <cell r="C91" t="str">
            <v>Anugrah Tani/Agung</v>
          </cell>
          <cell r="D91" t="str">
            <v>Slamet Riadi</v>
          </cell>
          <cell r="E91" t="str">
            <v>Jl. Mas II No. 26 Ngeblek, RT.002/RW.006, Kel. Pelem, Kec. Pare</v>
          </cell>
          <cell r="F91" t="str">
            <v>Kediri</v>
          </cell>
          <cell r="G91" t="str">
            <v>3506171409820002</v>
          </cell>
          <cell r="H91" t="str">
            <v>000000000000000</v>
          </cell>
          <cell r="J91">
            <v>0</v>
          </cell>
          <cell r="K91">
            <v>0</v>
          </cell>
          <cell r="L91">
            <v>0</v>
          </cell>
        </row>
        <row r="92">
          <cell r="B92" t="str">
            <v>ANUG21AC</v>
          </cell>
          <cell r="C92" t="str">
            <v>Anugrah Tani/Agung</v>
          </cell>
          <cell r="D92" t="str">
            <v>Moh. Muntaha Ahsan</v>
          </cell>
          <cell r="E92" t="str">
            <v>Dsn. Canggu, RT.002/RW.007, Kel. Canggu, Kec. Badas</v>
          </cell>
          <cell r="F92" t="str">
            <v>Kediri</v>
          </cell>
          <cell r="G92" t="str">
            <v>3506261711960001</v>
          </cell>
          <cell r="H92" t="str">
            <v>000000000000000</v>
          </cell>
          <cell r="J92">
            <v>0</v>
          </cell>
          <cell r="K92">
            <v>0</v>
          </cell>
          <cell r="L92">
            <v>0</v>
          </cell>
        </row>
        <row r="93">
          <cell r="B93" t="str">
            <v>ANUG22AC</v>
          </cell>
          <cell r="C93" t="str">
            <v>Anugrah Tani/Agung</v>
          </cell>
          <cell r="D93" t="str">
            <v>Eko Wiyono</v>
          </cell>
          <cell r="E93" t="str">
            <v>Dusun Semut, RT.001/RW.001, Kel. Jambu, Kec. Kayen Kidul</v>
          </cell>
          <cell r="F93" t="str">
            <v>Kediri</v>
          </cell>
          <cell r="G93" t="str">
            <v>3506180206790002</v>
          </cell>
          <cell r="H93" t="str">
            <v>000000000000000</v>
          </cell>
          <cell r="J93">
            <v>0</v>
          </cell>
          <cell r="K93">
            <v>0</v>
          </cell>
          <cell r="L93">
            <v>0</v>
          </cell>
        </row>
        <row r="94">
          <cell r="B94" t="str">
            <v>ANUG23AC</v>
          </cell>
          <cell r="C94" t="str">
            <v>Anugrah Tani/Agung</v>
          </cell>
          <cell r="D94" t="str">
            <v>Nurul Lisyayaroh</v>
          </cell>
          <cell r="E94" t="str">
            <v>Dusun Semut, RT.001/RW.001, Kel. Jambu, Kec. Kayen Kidul</v>
          </cell>
          <cell r="F94" t="str">
            <v>Kediri</v>
          </cell>
          <cell r="G94" t="str">
            <v>3506246809900001</v>
          </cell>
          <cell r="H94" t="str">
            <v>000000000000000</v>
          </cell>
          <cell r="J94">
            <v>0</v>
          </cell>
          <cell r="K94">
            <v>0</v>
          </cell>
          <cell r="L94">
            <v>0</v>
          </cell>
        </row>
        <row r="95">
          <cell r="B95" t="str">
            <v>ANUG24AC</v>
          </cell>
          <cell r="C95" t="str">
            <v>Anugrah Tani/Agung</v>
          </cell>
          <cell r="D95" t="str">
            <v>Indra Wati</v>
          </cell>
          <cell r="E95" t="str">
            <v>Dsn. Candirejo, RT.003/RW.011, Kel. Tegowangi, Kec. Plemahan</v>
          </cell>
          <cell r="F95" t="str">
            <v>Kediri</v>
          </cell>
          <cell r="G95" t="str">
            <v>3506166005890001</v>
          </cell>
          <cell r="H95" t="str">
            <v>000000000000000</v>
          </cell>
          <cell r="J95">
            <v>0</v>
          </cell>
          <cell r="K95">
            <v>0</v>
          </cell>
          <cell r="L95">
            <v>0</v>
          </cell>
        </row>
        <row r="96">
          <cell r="B96" t="str">
            <v>ATH01AC</v>
          </cell>
          <cell r="C96" t="str">
            <v>Anugrah Tani/Heru</v>
          </cell>
          <cell r="D96" t="str">
            <v>Tutik</v>
          </cell>
          <cell r="E96" t="str">
            <v>Dsn. Secang RT.005/RW.002, Kel. Pojok, Kec. Campurdarat</v>
          </cell>
          <cell r="F96" t="str">
            <v>Tulungagung</v>
          </cell>
          <cell r="G96" t="str">
            <v>3504165307700002</v>
          </cell>
          <cell r="H96" t="str">
            <v>000000000000000</v>
          </cell>
          <cell r="I96" t="str">
            <v>Heru Sakti ( T acak )</v>
          </cell>
          <cell r="J96">
            <v>0</v>
          </cell>
          <cell r="K96">
            <v>0</v>
          </cell>
          <cell r="L96">
            <v>0</v>
          </cell>
        </row>
        <row r="97">
          <cell r="B97" t="str">
            <v>ATH02AC</v>
          </cell>
          <cell r="C97" t="str">
            <v>Anugrah Tani/Heru</v>
          </cell>
          <cell r="D97" t="str">
            <v>Katemi</v>
          </cell>
          <cell r="E97" t="str">
            <v>Dsn. Secang RT.005/RW.002, Kel. Pojok, Kec. Campurdarat</v>
          </cell>
          <cell r="F97" t="str">
            <v>Tulungagung</v>
          </cell>
          <cell r="G97" t="str">
            <v>3504164905550002</v>
          </cell>
          <cell r="H97" t="str">
            <v>000000000000000</v>
          </cell>
          <cell r="J97">
            <v>2112000.0000000005</v>
          </cell>
          <cell r="K97">
            <v>0</v>
          </cell>
          <cell r="L97">
            <v>2112000.0000000005</v>
          </cell>
        </row>
        <row r="98">
          <cell r="B98" t="str">
            <v>ATH03AC</v>
          </cell>
          <cell r="C98" t="str">
            <v>Anugrah Tani/Heru</v>
          </cell>
          <cell r="D98" t="str">
            <v>Yadi</v>
          </cell>
          <cell r="E98" t="str">
            <v>Dsn. Secang RT.002/RW.001, Kel. Pojok, Kec. Campurdarat</v>
          </cell>
          <cell r="F98" t="str">
            <v>Tulungagung</v>
          </cell>
          <cell r="G98" t="str">
            <v>3504160311400003</v>
          </cell>
          <cell r="H98" t="str">
            <v>000000000000000</v>
          </cell>
          <cell r="J98">
            <v>1056000</v>
          </cell>
          <cell r="K98">
            <v>0</v>
          </cell>
          <cell r="L98">
            <v>1056000</v>
          </cell>
        </row>
        <row r="99">
          <cell r="B99" t="str">
            <v>ATH04AC</v>
          </cell>
          <cell r="C99" t="str">
            <v>Anugrah Tani/Heru</v>
          </cell>
          <cell r="D99" t="str">
            <v>Suningsih</v>
          </cell>
          <cell r="E99" t="str">
            <v>Dsn. Secang RT.004/RW.002, Kel. Pojok, Kec. Campurdarat</v>
          </cell>
          <cell r="F99" t="str">
            <v>Tulungagung</v>
          </cell>
          <cell r="G99" t="str">
            <v>3504166310860002</v>
          </cell>
          <cell r="H99" t="str">
            <v>000000000000000</v>
          </cell>
          <cell r="J99">
            <v>988000</v>
          </cell>
          <cell r="K99">
            <v>0</v>
          </cell>
          <cell r="L99">
            <v>988000</v>
          </cell>
        </row>
        <row r="100">
          <cell r="B100" t="str">
            <v>ATH05AC</v>
          </cell>
          <cell r="C100" t="str">
            <v>Anugrah Tani/Heru</v>
          </cell>
          <cell r="D100" t="str">
            <v xml:space="preserve">Paiman </v>
          </cell>
          <cell r="E100" t="str">
            <v>Dsn. Secang RT.006/RW.002, Kel. Pojok, Kec. Campurdarat</v>
          </cell>
          <cell r="F100" t="str">
            <v>Tulungagung</v>
          </cell>
          <cell r="G100" t="str">
            <v>3504160610570002</v>
          </cell>
          <cell r="H100" t="str">
            <v>000000000000000</v>
          </cell>
          <cell r="J100">
            <v>1124000</v>
          </cell>
          <cell r="K100">
            <v>0</v>
          </cell>
          <cell r="L100">
            <v>1124000</v>
          </cell>
        </row>
        <row r="101">
          <cell r="B101" t="str">
            <v>ATH06AC</v>
          </cell>
          <cell r="C101" t="str">
            <v>Anugrah Tani/Heru</v>
          </cell>
          <cell r="D101" t="str">
            <v>Winih</v>
          </cell>
          <cell r="E101" t="str">
            <v>Dsn. Secang RT.002/RW.002, Kel. Pojok, Kec. Campurdarat</v>
          </cell>
          <cell r="F101" t="str">
            <v>Tulungagung</v>
          </cell>
          <cell r="G101" t="str">
            <v>3504164511600002</v>
          </cell>
          <cell r="H101" t="str">
            <v>000000000000000</v>
          </cell>
          <cell r="J101">
            <v>7195999.9999788711</v>
          </cell>
          <cell r="K101">
            <v>0</v>
          </cell>
          <cell r="L101">
            <v>7195999.9999788711</v>
          </cell>
        </row>
        <row r="102">
          <cell r="B102" t="str">
            <v>ATH07AC</v>
          </cell>
          <cell r="C102" t="str">
            <v>Anugrah Tani/Heru</v>
          </cell>
          <cell r="D102" t="str">
            <v>Tumijan</v>
          </cell>
          <cell r="E102" t="str">
            <v>Dsn. Secang RT.005/RW.001, Kel. Pojok, Kec. Campurdarat</v>
          </cell>
          <cell r="F102" t="str">
            <v>Tulungagung</v>
          </cell>
          <cell r="G102" t="str">
            <v>3504160810450001</v>
          </cell>
          <cell r="H102" t="str">
            <v>000000000000000</v>
          </cell>
          <cell r="J102">
            <v>539999.99999834993</v>
          </cell>
          <cell r="K102">
            <v>0</v>
          </cell>
          <cell r="L102">
            <v>539999.99999834993</v>
          </cell>
        </row>
        <row r="103">
          <cell r="B103" t="str">
            <v>ATH08AC</v>
          </cell>
          <cell r="C103" t="str">
            <v>Anugrah Tani/Heru</v>
          </cell>
          <cell r="D103" t="str">
            <v>Sudarji</v>
          </cell>
          <cell r="E103" t="str">
            <v>Dsn. Secang RT.006/RW.002, Kel. Pojok, Kec. Campurdarat</v>
          </cell>
          <cell r="F103" t="str">
            <v>Tulungagung</v>
          </cell>
          <cell r="G103" t="str">
            <v>3504163003650002</v>
          </cell>
          <cell r="H103" t="str">
            <v>000000000000000</v>
          </cell>
          <cell r="J103">
            <v>0</v>
          </cell>
          <cell r="K103">
            <v>0</v>
          </cell>
          <cell r="L103">
            <v>0</v>
          </cell>
        </row>
        <row r="104">
          <cell r="B104" t="str">
            <v>ATH09AC</v>
          </cell>
          <cell r="C104" t="str">
            <v>Anugrah Tani/Heru</v>
          </cell>
          <cell r="D104" t="str">
            <v>Sukini</v>
          </cell>
          <cell r="E104" t="str">
            <v>Dsn. Secang RT.006/RW.002, Kel. Pojok, Kec. Campurdarat</v>
          </cell>
          <cell r="F104" t="str">
            <v>Tulungagung</v>
          </cell>
          <cell r="G104" t="str">
            <v>3504164104660004</v>
          </cell>
          <cell r="H104" t="str">
            <v>000000000000000</v>
          </cell>
          <cell r="J104">
            <v>0</v>
          </cell>
          <cell r="K104">
            <v>0</v>
          </cell>
          <cell r="L104">
            <v>0</v>
          </cell>
        </row>
        <row r="105">
          <cell r="B105" t="str">
            <v>ATH10AC</v>
          </cell>
          <cell r="C105" t="str">
            <v>Anugrah Tani/Heru</v>
          </cell>
          <cell r="D105" t="str">
            <v>Lina Yuliana</v>
          </cell>
          <cell r="E105" t="str">
            <v>Dsn. Secang RT.006/RW.002, Kel. Pojok, Kec. Campurdarat</v>
          </cell>
          <cell r="F105" t="str">
            <v>Tulungagung</v>
          </cell>
          <cell r="G105" t="str">
            <v>3504166601950002</v>
          </cell>
          <cell r="H105" t="str">
            <v>000000000000000</v>
          </cell>
          <cell r="J105">
            <v>0</v>
          </cell>
          <cell r="K105">
            <v>0</v>
          </cell>
          <cell r="L105">
            <v>0</v>
          </cell>
        </row>
        <row r="106">
          <cell r="B106" t="str">
            <v>ATH11AC</v>
          </cell>
          <cell r="C106" t="str">
            <v>Anugrah Tani/Heru</v>
          </cell>
          <cell r="D106" t="str">
            <v>Sari</v>
          </cell>
          <cell r="E106" t="str">
            <v>Dsn. Secang RT.006/RW.002, Kel. Pojok, Kec. Campurdarat</v>
          </cell>
          <cell r="F106" t="str">
            <v>Tulungagung</v>
          </cell>
          <cell r="G106" t="str">
            <v>3504162803590002</v>
          </cell>
          <cell r="H106" t="str">
            <v>000000000000000</v>
          </cell>
          <cell r="J106">
            <v>0</v>
          </cell>
          <cell r="K106">
            <v>0</v>
          </cell>
          <cell r="L106">
            <v>0</v>
          </cell>
        </row>
        <row r="107">
          <cell r="B107" t="str">
            <v>ATH12AC</v>
          </cell>
          <cell r="C107" t="str">
            <v>Anugrah Tani/Heru</v>
          </cell>
          <cell r="D107" t="str">
            <v>Titik</v>
          </cell>
          <cell r="E107" t="str">
            <v>Dsn. Secang RT.003/RW.001, Kel. Pojok, Kec. Campurdarat</v>
          </cell>
          <cell r="F107" t="str">
            <v>Tulungagung</v>
          </cell>
          <cell r="G107" t="str">
            <v>3504164912720001</v>
          </cell>
          <cell r="H107" t="str">
            <v>000000000000000</v>
          </cell>
          <cell r="J107">
            <v>0</v>
          </cell>
          <cell r="K107">
            <v>0</v>
          </cell>
          <cell r="L107">
            <v>0</v>
          </cell>
        </row>
        <row r="108">
          <cell r="B108" t="str">
            <v>ATH13AC</v>
          </cell>
          <cell r="C108" t="str">
            <v>Anugrah Tani/Heru</v>
          </cell>
          <cell r="D108" t="str">
            <v>Agus Siswanto</v>
          </cell>
          <cell r="E108" t="str">
            <v>Dsn. Secang RT.006/RW.002, Kel. Pojok, Kec. Campurdarat</v>
          </cell>
          <cell r="F108" t="str">
            <v>Tulungagung</v>
          </cell>
          <cell r="G108" t="str">
            <v>3504161008840004</v>
          </cell>
          <cell r="H108" t="str">
            <v>000000000000000</v>
          </cell>
          <cell r="J108">
            <v>0</v>
          </cell>
          <cell r="K108">
            <v>0</v>
          </cell>
          <cell r="L108">
            <v>0</v>
          </cell>
        </row>
        <row r="109">
          <cell r="B109" t="str">
            <v>ATH14AC</v>
          </cell>
          <cell r="C109" t="str">
            <v>Anugrah Tani/Heru</v>
          </cell>
          <cell r="D109" t="str">
            <v>Tinah</v>
          </cell>
          <cell r="E109" t="str">
            <v>Dsn. Secang RT.006/RW.002, Kel. Pojok, Kec. Campurdarat</v>
          </cell>
          <cell r="F109" t="str">
            <v>Tulungagung</v>
          </cell>
          <cell r="G109" t="str">
            <v>3504164105670001</v>
          </cell>
          <cell r="H109" t="str">
            <v>000000000000000</v>
          </cell>
          <cell r="J109">
            <v>0</v>
          </cell>
          <cell r="K109">
            <v>0</v>
          </cell>
          <cell r="L109">
            <v>0</v>
          </cell>
        </row>
        <row r="110">
          <cell r="B110" t="str">
            <v>ATH15AC</v>
          </cell>
          <cell r="C110" t="str">
            <v>Anugrah Tani/Heru</v>
          </cell>
          <cell r="D110" t="str">
            <v>Parni</v>
          </cell>
          <cell r="E110" t="str">
            <v>Dsn. Secang RT.006/RW.002, Kel. Pojok, Kec. Campurdarat</v>
          </cell>
          <cell r="F110" t="str">
            <v>Tulungagung</v>
          </cell>
          <cell r="G110" t="str">
            <v>3504162605620001</v>
          </cell>
          <cell r="H110" t="str">
            <v>000000000000000</v>
          </cell>
          <cell r="J110">
            <v>0</v>
          </cell>
          <cell r="K110">
            <v>0</v>
          </cell>
          <cell r="L110">
            <v>0</v>
          </cell>
        </row>
        <row r="111">
          <cell r="B111" t="str">
            <v>ATH16AC</v>
          </cell>
          <cell r="C111" t="str">
            <v>Anugrah Tani/Heru</v>
          </cell>
          <cell r="D111" t="str">
            <v>Siti Khomsiyah</v>
          </cell>
          <cell r="E111" t="str">
            <v>Dsn. Secang RT.003/RW.001, Kel. Pojok, Kec. Campurdarat</v>
          </cell>
          <cell r="F111" t="str">
            <v>Tulungagung</v>
          </cell>
          <cell r="G111" t="str">
            <v>3504165209710003</v>
          </cell>
          <cell r="H111" t="str">
            <v>000000000000000</v>
          </cell>
          <cell r="J111">
            <v>0</v>
          </cell>
          <cell r="K111">
            <v>0</v>
          </cell>
          <cell r="L111">
            <v>0</v>
          </cell>
        </row>
        <row r="112">
          <cell r="B112" t="str">
            <v>ATH17AC</v>
          </cell>
          <cell r="C112" t="str">
            <v>Anugrah Tani/Heru</v>
          </cell>
          <cell r="D112" t="str">
            <v>Mukarom</v>
          </cell>
          <cell r="E112" t="str">
            <v>Dsn. Secang RT.004/RW.001, Kel. Pojok, Kec. Campurdarat</v>
          </cell>
          <cell r="F112" t="str">
            <v>Tulungagung</v>
          </cell>
          <cell r="G112" t="str">
            <v>3504152009840001</v>
          </cell>
          <cell r="H112" t="str">
            <v>000000000000000</v>
          </cell>
          <cell r="J112">
            <v>0</v>
          </cell>
          <cell r="K112">
            <v>0</v>
          </cell>
          <cell r="L112">
            <v>0</v>
          </cell>
        </row>
        <row r="113">
          <cell r="B113" t="str">
            <v>ATH18AC</v>
          </cell>
          <cell r="C113" t="str">
            <v>Anugrah Tani/Heru</v>
          </cell>
          <cell r="D113" t="str">
            <v>Sukilan</v>
          </cell>
          <cell r="E113" t="str">
            <v>Dsn. Secang RT.004/RW.002, Kel. Pojok, Kec. Campurdarat</v>
          </cell>
          <cell r="F113" t="str">
            <v>Tulungagung</v>
          </cell>
          <cell r="G113" t="str">
            <v>3504161506630001</v>
          </cell>
          <cell r="H113" t="str">
            <v>000000000000000</v>
          </cell>
          <cell r="J113">
            <v>0</v>
          </cell>
          <cell r="K113">
            <v>0</v>
          </cell>
          <cell r="L113">
            <v>0</v>
          </cell>
        </row>
        <row r="114">
          <cell r="B114" t="str">
            <v>ATH19AC</v>
          </cell>
          <cell r="C114" t="str">
            <v>Anugrah Tani/Heru</v>
          </cell>
          <cell r="D114" t="str">
            <v>Martin</v>
          </cell>
          <cell r="E114" t="str">
            <v>Dsn. Secang RT.005/RW.001, Kel. Pojok, Kec. Campurdarat</v>
          </cell>
          <cell r="F114" t="str">
            <v>Tulungagung</v>
          </cell>
          <cell r="G114" t="str">
            <v>3504164908610002</v>
          </cell>
          <cell r="H114" t="str">
            <v>000000000000000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 t="str">
            <v>ATH20AC</v>
          </cell>
          <cell r="C115" t="str">
            <v>Anugrah Tani/Heru</v>
          </cell>
          <cell r="D115" t="str">
            <v>Rinanik</v>
          </cell>
          <cell r="E115" t="str">
            <v>Dsn. Secang RT.007/RW.002, Kel. Pojok, Kec. Campurdarat</v>
          </cell>
          <cell r="F115" t="str">
            <v>Tulungagung</v>
          </cell>
          <cell r="G115" t="str">
            <v>3504166008760001</v>
          </cell>
          <cell r="H115" t="str">
            <v>000000000000000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 t="str">
            <v>ATH21AC</v>
          </cell>
          <cell r="C116" t="str">
            <v>Anugrah Tani/Heru</v>
          </cell>
          <cell r="D116" t="str">
            <v>Munti</v>
          </cell>
          <cell r="E116" t="str">
            <v>Dsn. Secang RT.004/RW.002, Kel. Pojok, Kec. Campurdarat</v>
          </cell>
          <cell r="F116" t="str">
            <v>Tulungagung</v>
          </cell>
          <cell r="G116" t="str">
            <v>3504165212350001</v>
          </cell>
          <cell r="H116" t="str">
            <v>000000000000000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 t="str">
            <v>ATH22AC</v>
          </cell>
          <cell r="C117" t="str">
            <v>Anugrah Tani/Heru</v>
          </cell>
          <cell r="D117" t="str">
            <v>Sutriman</v>
          </cell>
          <cell r="E117" t="str">
            <v>Dsn. Secang RT.001/RW.001, Kel. Pojok, Kec. Campurdarat</v>
          </cell>
          <cell r="F117" t="str">
            <v>Tulungagung</v>
          </cell>
          <cell r="G117" t="str">
            <v>3504160204660003</v>
          </cell>
          <cell r="H117" t="str">
            <v>000000000000000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 t="str">
            <v>ATH23AC</v>
          </cell>
          <cell r="C118" t="str">
            <v>Anugrah Tani/Heru</v>
          </cell>
          <cell r="D118" t="str">
            <v>Pujianto</v>
          </cell>
          <cell r="E118" t="str">
            <v>Dsn. Secang RT.005/RW.001, Kel. Pojok, Kec. Campurdarat</v>
          </cell>
          <cell r="F118" t="str">
            <v>Tulungagung</v>
          </cell>
          <cell r="G118" t="str">
            <v>3504162206840001</v>
          </cell>
          <cell r="H118" t="str">
            <v>000000000000000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 t="str">
            <v>ATH24AC</v>
          </cell>
          <cell r="C119" t="str">
            <v>Anugrah Tani/Heru</v>
          </cell>
          <cell r="D119" t="str">
            <v>Suyatun</v>
          </cell>
          <cell r="E119" t="str">
            <v>Dsn. Secang RT.002/RW.001, Kel. Pojok, Kec. Campurdarat</v>
          </cell>
          <cell r="F119" t="str">
            <v>Tulungagung</v>
          </cell>
          <cell r="G119" t="str">
            <v>3504166303660001</v>
          </cell>
          <cell r="H119" t="str">
            <v>000000000000000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 t="str">
            <v>ATH25AC</v>
          </cell>
          <cell r="C120" t="str">
            <v>Anugrah Tani/Heru</v>
          </cell>
          <cell r="D120" t="str">
            <v>Yahman</v>
          </cell>
          <cell r="E120" t="str">
            <v>Dsn. Secang RT.004/RW.001, Kel. Pojok, Kec. Campurdarat</v>
          </cell>
          <cell r="F120" t="str">
            <v>Tulungagung</v>
          </cell>
          <cell r="G120" t="str">
            <v>3504161307570003</v>
          </cell>
          <cell r="H120" t="str">
            <v>000000000000000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 t="str">
            <v>ATH26AC</v>
          </cell>
          <cell r="C121" t="str">
            <v>Anugrah Tani/Heru</v>
          </cell>
          <cell r="D121" t="str">
            <v>Yamijan</v>
          </cell>
          <cell r="E121" t="str">
            <v>Dsn. Secang RT.007/RW.002, Kel. Pojok, Kec. Campurdarat</v>
          </cell>
          <cell r="F121" t="str">
            <v>Tulungagung</v>
          </cell>
          <cell r="G121" t="str">
            <v>3504160209680001</v>
          </cell>
          <cell r="H121" t="str">
            <v>000000000000000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 t="str">
            <v>ATH27AC</v>
          </cell>
          <cell r="C122" t="str">
            <v>Anugrah Tani/Heru</v>
          </cell>
          <cell r="D122" t="str">
            <v>Djarni</v>
          </cell>
          <cell r="E122" t="str">
            <v>Dsn. Secang RT.003/RW.001, Kel. Pojok, Kec. Campurdarat</v>
          </cell>
          <cell r="F122" t="str">
            <v>Tulungagung</v>
          </cell>
          <cell r="G122" t="str">
            <v>3504162611610001</v>
          </cell>
          <cell r="H122" t="str">
            <v>000000000000000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 t="str">
            <v>ATH28AC</v>
          </cell>
          <cell r="C123" t="str">
            <v>Anugrah Tani/Heru</v>
          </cell>
          <cell r="D123" t="str">
            <v>Maryani</v>
          </cell>
          <cell r="E123" t="str">
            <v>Dsn. Secang RT.006/RW.002, Kel. Pojok, Kec. Campurdarat</v>
          </cell>
          <cell r="F123" t="str">
            <v>Tulungagung</v>
          </cell>
          <cell r="G123" t="str">
            <v>3504162905530001</v>
          </cell>
          <cell r="H123" t="str">
            <v>000000000000000</v>
          </cell>
          <cell r="J123">
            <v>0</v>
          </cell>
          <cell r="K123">
            <v>0</v>
          </cell>
          <cell r="L123">
            <v>0</v>
          </cell>
        </row>
        <row r="124">
          <cell r="B124" t="str">
            <v>ATH29AC</v>
          </cell>
          <cell r="C124" t="str">
            <v>Anugrah Tani/Heru</v>
          </cell>
          <cell r="D124" t="str">
            <v>Heli Riana</v>
          </cell>
          <cell r="E124" t="str">
            <v>Dsn. Secang RT.006/RW.002, Kel. Pojok, Kec. Campurdarat</v>
          </cell>
          <cell r="F124" t="str">
            <v>Tulungagung</v>
          </cell>
          <cell r="G124" t="str">
            <v>3504166407820001</v>
          </cell>
          <cell r="H124" t="str">
            <v>000000000000000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 t="str">
            <v>ATH30AC</v>
          </cell>
          <cell r="C125" t="str">
            <v>Anugrah Tani/Heru</v>
          </cell>
          <cell r="D125" t="str">
            <v>Sarohmin</v>
          </cell>
          <cell r="E125" t="str">
            <v>Dsn. Secang RT.002/RW.001, Kel. Pojok, Kec. Campurdarat</v>
          </cell>
          <cell r="F125" t="str">
            <v>Tulungagung</v>
          </cell>
          <cell r="G125" t="str">
            <v>3504164503850004</v>
          </cell>
          <cell r="H125" t="str">
            <v>000000000000000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 t="str">
            <v>ATH31AC</v>
          </cell>
          <cell r="C126" t="str">
            <v>Anugrah Tani/Heru</v>
          </cell>
          <cell r="D126" t="str">
            <v>Lamidi</v>
          </cell>
          <cell r="E126" t="str">
            <v>Dsn. Secang RT.001/RW.002, Kel. Pojok, Kec. Campurdarat</v>
          </cell>
          <cell r="F126" t="str">
            <v>Tulungagung</v>
          </cell>
          <cell r="G126" t="str">
            <v>3504160205610004</v>
          </cell>
          <cell r="H126" t="str">
            <v>000000000000000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 t="str">
            <v>ATH32AC</v>
          </cell>
          <cell r="C127" t="str">
            <v>Anugrah Tani/Heru</v>
          </cell>
          <cell r="D127" t="str">
            <v>Supirah</v>
          </cell>
          <cell r="E127" t="str">
            <v>Dsn. Secang RT.003/RW.002, Kel. Pojok, Kec. Campurdarat</v>
          </cell>
          <cell r="F127" t="str">
            <v>Tulungagung</v>
          </cell>
          <cell r="G127" t="str">
            <v>3504164106530001</v>
          </cell>
          <cell r="H127" t="str">
            <v>000000000000000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 t="str">
            <v>ATH33AC</v>
          </cell>
          <cell r="C128" t="str">
            <v>Anugrah Tani/Heru</v>
          </cell>
          <cell r="D128" t="str">
            <v>Wahyu Kurniawan</v>
          </cell>
          <cell r="E128" t="str">
            <v>Dsn. Secang RT.006/RW.002, Kel. Pojok, Kec. Campurdarat</v>
          </cell>
          <cell r="F128" t="str">
            <v>Tulungagung</v>
          </cell>
          <cell r="G128" t="str">
            <v>3504162008950001</v>
          </cell>
          <cell r="H128" t="str">
            <v>000000000000000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 t="str">
            <v>ATH34AC</v>
          </cell>
          <cell r="C129" t="str">
            <v>Anugrah Tani/Heru</v>
          </cell>
          <cell r="D129" t="str">
            <v>Sunarto</v>
          </cell>
          <cell r="E129" t="str">
            <v>Dsn. Secang RT.003/RW.001, Kel. Pojok, Kec. Campurdarat</v>
          </cell>
          <cell r="F129" t="str">
            <v>Tulungagung</v>
          </cell>
          <cell r="G129" t="str">
            <v>3504160406590002</v>
          </cell>
          <cell r="H129" t="str">
            <v>000000000000000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 t="str">
            <v>ATH35AC</v>
          </cell>
          <cell r="C130" t="str">
            <v>Anugrah Tani/Heru</v>
          </cell>
          <cell r="D130" t="str">
            <v>Nurhasim</v>
          </cell>
          <cell r="E130" t="str">
            <v>Dsn. Secang RT.001/RW.001, Kel. Pojok, Kec. Campurdarat</v>
          </cell>
          <cell r="F130" t="str">
            <v>Tulungagung</v>
          </cell>
          <cell r="G130" t="str">
            <v>3504161806620001</v>
          </cell>
          <cell r="H130" t="str">
            <v>000000000000000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 t="str">
            <v>ATH36AC</v>
          </cell>
          <cell r="C131" t="str">
            <v>Anugrah Tani/Heru</v>
          </cell>
          <cell r="D131" t="str">
            <v>Sukri</v>
          </cell>
          <cell r="E131" t="str">
            <v>Dsn. Secang RT.005/RW.001, Kel. Pojok, Kec. Campurdarat</v>
          </cell>
          <cell r="F131" t="str">
            <v>Tulungagung</v>
          </cell>
          <cell r="G131" t="str">
            <v>3504161506660001</v>
          </cell>
          <cell r="H131" t="str">
            <v>000000000000000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 t="str">
            <v>ATH37AC</v>
          </cell>
          <cell r="C132" t="str">
            <v>Anugrah Tani/Heru</v>
          </cell>
          <cell r="D132" t="str">
            <v>Suliyah</v>
          </cell>
          <cell r="E132" t="str">
            <v>Dsn. Secang RT.005/RW.001, Kel. Pojok, Kec. Campurdarat</v>
          </cell>
          <cell r="F132" t="str">
            <v>Tulungagung</v>
          </cell>
          <cell r="G132" t="str">
            <v>3504164812680001</v>
          </cell>
          <cell r="H132" t="str">
            <v>000000000000000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 t="str">
            <v>ATH38AC</v>
          </cell>
          <cell r="C133" t="str">
            <v>Anugrah Tani/Heru</v>
          </cell>
          <cell r="D133" t="str">
            <v>Sairin</v>
          </cell>
          <cell r="E133" t="str">
            <v>Dsn. Secang RT.001/RW.001, Kel. Pojok, Kec. Campurdarat</v>
          </cell>
          <cell r="F133" t="str">
            <v>Tulungagung</v>
          </cell>
          <cell r="G133" t="str">
            <v>3504160511600002</v>
          </cell>
          <cell r="H133" t="str">
            <v>000000000000000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 t="str">
            <v>ATH39AC</v>
          </cell>
          <cell r="C134" t="str">
            <v>Anugrah Tani/Heru</v>
          </cell>
          <cell r="D134" t="str">
            <v>Rokhimin</v>
          </cell>
          <cell r="E134" t="str">
            <v>Dsn. Secang RT.006/RW.002, Kel. Pojok, Kec. Campurdarat</v>
          </cell>
          <cell r="F134" t="str">
            <v>Tulungagung</v>
          </cell>
          <cell r="G134" t="str">
            <v>3504160711740002</v>
          </cell>
          <cell r="H134" t="str">
            <v>000000000000000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ATH40AC</v>
          </cell>
          <cell r="C135" t="str">
            <v>Anugrah Tani/Heru</v>
          </cell>
          <cell r="D135" t="str">
            <v>Mukiran</v>
          </cell>
          <cell r="E135" t="str">
            <v>Dsn. Secang RT.006/RW.002, Kel. Pojok, Kec. Campurdarat</v>
          </cell>
          <cell r="F135" t="str">
            <v>Tulungagung</v>
          </cell>
          <cell r="G135" t="str">
            <v>3504160107430047</v>
          </cell>
          <cell r="H135" t="str">
            <v>000000000000000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ATH41AC</v>
          </cell>
          <cell r="C136" t="str">
            <v>Anugrah Tani/Heru</v>
          </cell>
          <cell r="D136" t="str">
            <v>Lilis Nurwidayah</v>
          </cell>
          <cell r="E136" t="str">
            <v>Dsn. Secang RT.006/RW.002, Kel. Pojok, Kec. Campurdarat</v>
          </cell>
          <cell r="F136" t="str">
            <v>Tulungagung</v>
          </cell>
          <cell r="G136" t="str">
            <v>3504167009810002</v>
          </cell>
          <cell r="H136" t="str">
            <v>000000000000000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 t="str">
            <v>ATH42AC</v>
          </cell>
          <cell r="C137" t="str">
            <v>Anugrah Tani/Heru</v>
          </cell>
          <cell r="D137" t="str">
            <v>Sutarti</v>
          </cell>
          <cell r="E137" t="str">
            <v>Dsn. Secang RT.006/RW.002, Kel. Pojok, Kec. Campurdarat</v>
          </cell>
          <cell r="F137" t="str">
            <v>Tulungagung</v>
          </cell>
          <cell r="G137" t="str">
            <v>3504164811750001</v>
          </cell>
          <cell r="H137" t="str">
            <v>000000000000000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 t="str">
            <v>ATH43AC</v>
          </cell>
          <cell r="C138" t="str">
            <v>Anugrah Tani/Heru</v>
          </cell>
          <cell r="D138" t="str">
            <v>Badil</v>
          </cell>
          <cell r="E138" t="str">
            <v>Dsn. Secang RT.006/RW.002, Kel. Pojok, Kec. Campurdarat</v>
          </cell>
          <cell r="F138" t="str">
            <v>Tulungagung</v>
          </cell>
          <cell r="G138" t="str">
            <v>3504160211570002</v>
          </cell>
          <cell r="H138" t="str">
            <v>000000000000000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 t="str">
            <v>ATH44AC</v>
          </cell>
          <cell r="C139" t="str">
            <v>Anugrah Tani/Heru</v>
          </cell>
          <cell r="D139" t="str">
            <v>Haryono</v>
          </cell>
          <cell r="E139" t="str">
            <v>Dsn. Secang RT.006/RW.001, Kel. Pojok, Kec. Campurdarat</v>
          </cell>
          <cell r="F139" t="str">
            <v>Tulungagung</v>
          </cell>
          <cell r="G139" t="str">
            <v>3504021007750001</v>
          </cell>
          <cell r="H139" t="str">
            <v>000000000000000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 t="str">
            <v>ATH45AC</v>
          </cell>
          <cell r="C140" t="str">
            <v>Anugrah Tani/Heru</v>
          </cell>
          <cell r="D140" t="str">
            <v>Sardi</v>
          </cell>
          <cell r="E140" t="str">
            <v>Dsn. Secang RT.003/RW.001, Kel. Pojok, Kec. Campurdarat</v>
          </cell>
          <cell r="F140" t="str">
            <v>Tulungagung</v>
          </cell>
          <cell r="G140" t="str">
            <v>3504161312550002</v>
          </cell>
          <cell r="H140" t="str">
            <v>000000000000000</v>
          </cell>
          <cell r="J140">
            <v>0</v>
          </cell>
          <cell r="K140">
            <v>0</v>
          </cell>
          <cell r="L140">
            <v>0</v>
          </cell>
        </row>
        <row r="141">
          <cell r="B141" t="str">
            <v>ATH46AC</v>
          </cell>
          <cell r="C141" t="str">
            <v>Anugrah Tani/Heru</v>
          </cell>
          <cell r="D141" t="str">
            <v>Samin</v>
          </cell>
          <cell r="E141" t="str">
            <v>Dsn. Secang RT.004/RW.001, Kel. Pojok, Kec. Campurdarat</v>
          </cell>
          <cell r="F141" t="str">
            <v>Tulungagung</v>
          </cell>
          <cell r="G141" t="str">
            <v>3504162309550002</v>
          </cell>
          <cell r="H141" t="str">
            <v>000000000000000</v>
          </cell>
          <cell r="J141">
            <v>0</v>
          </cell>
          <cell r="K141">
            <v>0</v>
          </cell>
          <cell r="L141">
            <v>0</v>
          </cell>
        </row>
        <row r="142">
          <cell r="B142" t="str">
            <v>ATH47AC</v>
          </cell>
          <cell r="C142" t="str">
            <v>Anugrah Tani/Heru</v>
          </cell>
          <cell r="D142" t="str">
            <v>Martawi</v>
          </cell>
          <cell r="E142" t="str">
            <v>Dsn. Secang RT.006/RW.002, Kel. Pojok, Kec. Campurdarat</v>
          </cell>
          <cell r="F142" t="str">
            <v>Tulungagung</v>
          </cell>
          <cell r="G142" t="str">
            <v>3504161508530001</v>
          </cell>
          <cell r="H142" t="str">
            <v>000000000000000</v>
          </cell>
          <cell r="J142">
            <v>0</v>
          </cell>
          <cell r="K142">
            <v>0</v>
          </cell>
          <cell r="L142">
            <v>0</v>
          </cell>
        </row>
        <row r="143">
          <cell r="B143" t="str">
            <v>ATH48AC</v>
          </cell>
          <cell r="C143" t="str">
            <v>Anugrah Tani/Heru</v>
          </cell>
          <cell r="D143" t="str">
            <v>Tukilah</v>
          </cell>
          <cell r="E143" t="str">
            <v>Dsn. Secang RT.004/RW.002, Kel. Pojok, Kec. Campurdarat</v>
          </cell>
          <cell r="F143" t="str">
            <v>Tulungagung</v>
          </cell>
          <cell r="G143" t="str">
            <v>3504165044590002</v>
          </cell>
          <cell r="H143" t="str">
            <v>000000000000000</v>
          </cell>
          <cell r="J143">
            <v>0</v>
          </cell>
          <cell r="K143">
            <v>0</v>
          </cell>
          <cell r="L143">
            <v>0</v>
          </cell>
        </row>
        <row r="144">
          <cell r="B144" t="str">
            <v>ATH49AC</v>
          </cell>
          <cell r="C144" t="str">
            <v>Anugrah Tani/Heru</v>
          </cell>
          <cell r="D144" t="str">
            <v>Sadjuri</v>
          </cell>
          <cell r="E144" t="str">
            <v>Dsn. Secang RT.002/RW.001, Kel. Pojok, Kec. Campurdarat</v>
          </cell>
          <cell r="F144" t="str">
            <v>Tulungagung</v>
          </cell>
          <cell r="G144" t="str">
            <v>3504161710680003</v>
          </cell>
          <cell r="H144" t="str">
            <v>000000000000000</v>
          </cell>
          <cell r="J144">
            <v>0</v>
          </cell>
          <cell r="K144">
            <v>0</v>
          </cell>
          <cell r="L144">
            <v>0</v>
          </cell>
        </row>
        <row r="145">
          <cell r="B145" t="str">
            <v>ATH50AC</v>
          </cell>
          <cell r="C145" t="str">
            <v>Anugrah Tani/Heru</v>
          </cell>
          <cell r="D145" t="str">
            <v>Sumiran</v>
          </cell>
          <cell r="E145" t="str">
            <v>Dsn. Secang RT.004/RW.001, Kel. Pojok, Kec. Campurdarat</v>
          </cell>
          <cell r="F145" t="str">
            <v>Tulungagung</v>
          </cell>
          <cell r="G145" t="str">
            <v>3504160312700003</v>
          </cell>
          <cell r="H145" t="str">
            <v>000000000000000</v>
          </cell>
          <cell r="J145">
            <v>0</v>
          </cell>
          <cell r="K145">
            <v>0</v>
          </cell>
          <cell r="L145">
            <v>0</v>
          </cell>
        </row>
        <row r="146">
          <cell r="B146" t="str">
            <v>ATH51AC</v>
          </cell>
          <cell r="C146" t="str">
            <v>Anugrah Tani/Heru</v>
          </cell>
          <cell r="D146" t="str">
            <v>Sari</v>
          </cell>
          <cell r="E146" t="str">
            <v>Dsn. Secang RT.001/RW.001, Kel. Pojok, Kec. Campurdarat</v>
          </cell>
          <cell r="F146" t="str">
            <v>Tulungagung</v>
          </cell>
          <cell r="G146" t="str">
            <v>3504160806740002</v>
          </cell>
          <cell r="H146" t="str">
            <v>000000000000000</v>
          </cell>
          <cell r="J146">
            <v>0</v>
          </cell>
          <cell r="K146">
            <v>0</v>
          </cell>
          <cell r="L146">
            <v>0</v>
          </cell>
        </row>
        <row r="147">
          <cell r="B147" t="str">
            <v>ATH52AC</v>
          </cell>
          <cell r="C147" t="str">
            <v>Anugrah Tani/Heru</v>
          </cell>
          <cell r="D147" t="str">
            <v>Samukri</v>
          </cell>
          <cell r="E147" t="str">
            <v>Dsn. Secang RT.001/RW.001, Kel. Pojok, Kec. Campurdarat</v>
          </cell>
          <cell r="F147" t="str">
            <v>Tulungagung</v>
          </cell>
          <cell r="G147" t="str">
            <v>3504160208570001</v>
          </cell>
          <cell r="H147" t="str">
            <v>000000000000000</v>
          </cell>
          <cell r="J147">
            <v>0</v>
          </cell>
          <cell r="K147">
            <v>0</v>
          </cell>
          <cell r="L147">
            <v>0</v>
          </cell>
        </row>
        <row r="148">
          <cell r="B148" t="str">
            <v>ATH53AC</v>
          </cell>
          <cell r="C148" t="str">
            <v>Anugrah Tani/Heru</v>
          </cell>
          <cell r="D148" t="str">
            <v>Painah</v>
          </cell>
          <cell r="E148" t="str">
            <v>Dsn. Secang RT.002/RW.001, Kel. Pojok, Kec. Campurdarat</v>
          </cell>
          <cell r="F148" t="str">
            <v>Tulungagung</v>
          </cell>
          <cell r="G148" t="str">
            <v>3504164107480050</v>
          </cell>
          <cell r="H148" t="str">
            <v>000000000000000</v>
          </cell>
          <cell r="J148">
            <v>0</v>
          </cell>
          <cell r="K148">
            <v>0</v>
          </cell>
          <cell r="L148">
            <v>0</v>
          </cell>
        </row>
        <row r="149">
          <cell r="B149" t="str">
            <v>ATH54AC</v>
          </cell>
          <cell r="C149" t="str">
            <v>Anugrah Tani/Heru</v>
          </cell>
          <cell r="D149" t="str">
            <v>Jakim</v>
          </cell>
          <cell r="E149" t="str">
            <v>Dsn. Secang RT.005/RW.002, Kel. Pojok, Kec. Campurdarat</v>
          </cell>
          <cell r="F149" t="str">
            <v>Tulungagung</v>
          </cell>
          <cell r="G149" t="str">
            <v>3504163011520002</v>
          </cell>
          <cell r="H149" t="str">
            <v>000000000000000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>ATH55AC</v>
          </cell>
          <cell r="C150" t="str">
            <v>Anugrah Tani/Heru</v>
          </cell>
          <cell r="D150" t="str">
            <v>Nyono</v>
          </cell>
          <cell r="E150" t="str">
            <v>Dsn. Secang RT.005/RW.002, Kel. Pojok, Kec. Campurdarat</v>
          </cell>
          <cell r="F150" t="str">
            <v>Tulungagung</v>
          </cell>
          <cell r="G150" t="str">
            <v>3504161506560001</v>
          </cell>
          <cell r="H150" t="str">
            <v>000000000000000</v>
          </cell>
          <cell r="J150">
            <v>0</v>
          </cell>
          <cell r="K150">
            <v>0</v>
          </cell>
          <cell r="L150">
            <v>0</v>
          </cell>
        </row>
        <row r="151">
          <cell r="B151" t="str">
            <v>ATH56AC</v>
          </cell>
          <cell r="C151" t="str">
            <v>Anugrah Tani/Heru</v>
          </cell>
          <cell r="D151" t="str">
            <v>Sunarti</v>
          </cell>
          <cell r="E151" t="str">
            <v>Dsn. Secang RT.006/RW.002, Kel. Pojok, Kec. Campurdarat</v>
          </cell>
          <cell r="F151" t="str">
            <v>Tulungagung</v>
          </cell>
          <cell r="G151" t="str">
            <v>3504164702780001</v>
          </cell>
          <cell r="H151" t="str">
            <v>000000000000000</v>
          </cell>
          <cell r="J151">
            <v>0</v>
          </cell>
          <cell r="K151">
            <v>0</v>
          </cell>
          <cell r="L151">
            <v>0</v>
          </cell>
        </row>
        <row r="152">
          <cell r="B152" t="str">
            <v>ATH57AC</v>
          </cell>
          <cell r="C152" t="str">
            <v>Anugrah Tani/Heru</v>
          </cell>
          <cell r="D152" t="str">
            <v>Kasan</v>
          </cell>
          <cell r="E152" t="str">
            <v>Dsn. Secang RT.005/RW.002, Kel. Pojok, Kec. Campurdarat</v>
          </cell>
          <cell r="F152" t="str">
            <v>Tulungagung</v>
          </cell>
          <cell r="G152" t="str">
            <v>3504160710750004</v>
          </cell>
          <cell r="H152" t="str">
            <v>000000000000000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 t="str">
            <v>ATH58AC</v>
          </cell>
          <cell r="C153" t="str">
            <v>Anugrah Tani/Heru</v>
          </cell>
          <cell r="D153" t="str">
            <v>Mariyatul Kibtiyah</v>
          </cell>
          <cell r="E153" t="str">
            <v>Dsn. Secang RT.002/RW.001, Kel. Pojok, Kec. Campurdarat</v>
          </cell>
          <cell r="F153" t="str">
            <v>Tulungagung</v>
          </cell>
          <cell r="G153" t="str">
            <v>3504105508850001</v>
          </cell>
          <cell r="H153" t="str">
            <v>000000000000000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 t="str">
            <v>ATH59AC</v>
          </cell>
          <cell r="C154" t="str">
            <v>Anugrah Tani/Heru</v>
          </cell>
          <cell r="D154" t="str">
            <v>Salam</v>
          </cell>
          <cell r="E154" t="str">
            <v>Dsn. Secang RT.006/RW.002, Kel. Pojok, Kec. Campurdarat</v>
          </cell>
          <cell r="F154" t="str">
            <v>Tulungagung</v>
          </cell>
          <cell r="G154" t="str">
            <v>3504160102540003</v>
          </cell>
          <cell r="H154" t="str">
            <v>000000000000000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 t="str">
            <v>BABA01AC</v>
          </cell>
          <cell r="C155" t="str">
            <v>Baba, UD/Suherman</v>
          </cell>
          <cell r="D155" t="str">
            <v>Ruslin</v>
          </cell>
          <cell r="E155" t="str">
            <v>Dsn. Angrrek, RT.002/RW.001, Kel. Tente, Kec. Woha</v>
          </cell>
          <cell r="F155" t="str">
            <v>Bima</v>
          </cell>
          <cell r="G155" t="str">
            <v>5206032808750002</v>
          </cell>
          <cell r="H155" t="str">
            <v>000000000000000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 t="str">
            <v>BABA02AC</v>
          </cell>
          <cell r="C156" t="str">
            <v>Baba, UD/Suherman</v>
          </cell>
          <cell r="D156" t="str">
            <v>Ady Yanto</v>
          </cell>
          <cell r="E156" t="str">
            <v>Desa Pandai, RT.006/RW.002, Kel. Pandai, Kec. Woha</v>
          </cell>
          <cell r="F156" t="str">
            <v>Bima</v>
          </cell>
          <cell r="G156" t="str">
            <v>3172041607830007</v>
          </cell>
          <cell r="H156" t="str">
            <v>000000000000000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 t="str">
            <v>BABA03AC</v>
          </cell>
          <cell r="C157" t="str">
            <v>Baba, UD/Suherman</v>
          </cell>
          <cell r="D157" t="str">
            <v>Sunarti</v>
          </cell>
          <cell r="E157" t="str">
            <v>Dsn. Angrrek, RT.002/RW.001, Kel. Tente, Kec. Woha</v>
          </cell>
          <cell r="F157" t="str">
            <v>Bima</v>
          </cell>
          <cell r="G157" t="str">
            <v>5206036906710001</v>
          </cell>
          <cell r="H157" t="str">
            <v>000000000000000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 t="str">
            <v>BABA04AC</v>
          </cell>
          <cell r="C158" t="str">
            <v>Baba, UD/Suherman</v>
          </cell>
          <cell r="D158" t="str">
            <v>Kurniawan</v>
          </cell>
          <cell r="E158" t="str">
            <v>Dsn. Angrrek, RT.002/RW.001, Kel. Tente, Kec. Woha</v>
          </cell>
          <cell r="F158" t="str">
            <v>Bima</v>
          </cell>
          <cell r="G158" t="str">
            <v>5206032404031003</v>
          </cell>
          <cell r="H158" t="str">
            <v>000000000000000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 t="str">
            <v>BABA05AC</v>
          </cell>
          <cell r="C159" t="str">
            <v>Baba, UD/Suherman</v>
          </cell>
          <cell r="D159" t="str">
            <v>Amirul Mukminin</v>
          </cell>
          <cell r="E159" t="str">
            <v>Dsn. Angrrek, RT.002/RW.001, Kel. Tente, Kec. Woha</v>
          </cell>
          <cell r="F159" t="str">
            <v>Bima</v>
          </cell>
          <cell r="G159" t="str">
            <v>5206032904021003</v>
          </cell>
          <cell r="H159" t="str">
            <v>000000000000000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 t="str">
            <v>BABA06AC</v>
          </cell>
          <cell r="C160" t="str">
            <v>Baba, UD/Suherman</v>
          </cell>
          <cell r="D160" t="str">
            <v>Sukri</v>
          </cell>
          <cell r="E160" t="str">
            <v>Kp. Sukapura, RT.010/RW.001, Kel. Sukapura, Kec. Cilincing</v>
          </cell>
          <cell r="F160" t="str">
            <v>Jakarta</v>
          </cell>
          <cell r="G160" t="str">
            <v>3172041012780008</v>
          </cell>
          <cell r="H160" t="str">
            <v>000000000000000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 t="str">
            <v>BABA07AC</v>
          </cell>
          <cell r="C161" t="str">
            <v>Baba, UD/Suherman</v>
          </cell>
          <cell r="D161" t="str">
            <v>Ismail</v>
          </cell>
          <cell r="E161" t="str">
            <v>Dsn. Angrrek, RT.002/RW.001, Kel. Tente, Kec. Woha</v>
          </cell>
          <cell r="F161" t="str">
            <v>Bima</v>
          </cell>
          <cell r="G161" t="str">
            <v>5206030107641116</v>
          </cell>
          <cell r="H161" t="str">
            <v>000000000000000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 t="str">
            <v>BABA08AC</v>
          </cell>
          <cell r="C162" t="str">
            <v>Baba, UD/Suherman</v>
          </cell>
          <cell r="D162" t="str">
            <v>Muhamad Fisa R</v>
          </cell>
          <cell r="E162" t="str">
            <v>Kebon Baru Metros, RT.013/RW.010, Kel. Semper barat, Kec. Cilincing</v>
          </cell>
          <cell r="F162" t="str">
            <v>Jakarta</v>
          </cell>
          <cell r="G162" t="str">
            <v>3172040103980013</v>
          </cell>
          <cell r="H162" t="str">
            <v>000000000000000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 t="str">
            <v>BAGU01AC</v>
          </cell>
          <cell r="C163" t="str">
            <v>Bagus Rizki, UD</v>
          </cell>
          <cell r="D163" t="str">
            <v>Rajab</v>
          </cell>
          <cell r="E163" t="str">
            <v>Areguling, RT.002/RW.002, Kel. Tumpak, Kec. Pujut</v>
          </cell>
          <cell r="F163" t="str">
            <v>Lombok Tengah</v>
          </cell>
          <cell r="G163" t="str">
            <v>5202043112740008</v>
          </cell>
          <cell r="H163" t="str">
            <v>000000000000000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>BAGU02AC</v>
          </cell>
          <cell r="C164" t="str">
            <v>Bagus Rizki, UD</v>
          </cell>
          <cell r="D164" t="str">
            <v>Lalu Rupawan</v>
          </cell>
          <cell r="E164" t="str">
            <v>Batrata, RT.001/RW.000, Kel. Ubung, Kec. Jonggat</v>
          </cell>
          <cell r="F164" t="str">
            <v>Lombok Tengah</v>
          </cell>
          <cell r="G164" t="str">
            <v>5202020107640148</v>
          </cell>
          <cell r="H164" t="str">
            <v>000000000000000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 t="str">
            <v>BAGU03AC</v>
          </cell>
          <cell r="C165" t="str">
            <v>Bagus Rizki, UD</v>
          </cell>
          <cell r="D165" t="str">
            <v>Safi'i</v>
          </cell>
          <cell r="E165" t="str">
            <v>Dsn. Sedau Timur, Kel. Pemepek, Kec. Pringgarata</v>
          </cell>
          <cell r="F165" t="str">
            <v>Lombok Tengah</v>
          </cell>
          <cell r="G165" t="str">
            <v>5202080107550261</v>
          </cell>
          <cell r="H165" t="str">
            <v>000000000000000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 t="str">
            <v>BAGU04AC</v>
          </cell>
          <cell r="C166" t="str">
            <v>Bagus Rizki, UD</v>
          </cell>
          <cell r="D166" t="str">
            <v>Jaya Mingkum</v>
          </cell>
          <cell r="E166" t="str">
            <v>Teluk Kateng, Kel. Mertak, Kec. Pujut</v>
          </cell>
          <cell r="F166" t="str">
            <v>Lombok Tengah</v>
          </cell>
          <cell r="G166" t="str">
            <v>5202043112910277</v>
          </cell>
          <cell r="H166" t="str">
            <v>000000000000000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 t="str">
            <v>BAGU05AC</v>
          </cell>
          <cell r="C167" t="str">
            <v>Bagus Rizki, UD</v>
          </cell>
          <cell r="D167" t="str">
            <v>Dahan Als Amaq</v>
          </cell>
          <cell r="E167" t="str">
            <v>Belong, Kel. Sengkol, Kec. Pujut</v>
          </cell>
          <cell r="F167" t="str">
            <v>Lombok Tengah</v>
          </cell>
          <cell r="G167" t="str">
            <v>5202043112600206</v>
          </cell>
          <cell r="H167" t="str">
            <v>000000000000000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 t="str">
            <v>BAGU06AC</v>
          </cell>
          <cell r="C168" t="str">
            <v>Bagus Rizki, UD</v>
          </cell>
          <cell r="D168" t="str">
            <v>Rohani</v>
          </cell>
          <cell r="E168" t="str">
            <v>Asrama TNI-AD Gililebur, RT.010/RW.000, Kel. Prapen, Kec. Praya</v>
          </cell>
          <cell r="F168" t="str">
            <v>Lombok Tengah</v>
          </cell>
          <cell r="G168" t="str">
            <v>5202017012620002</v>
          </cell>
          <cell r="H168" t="str">
            <v>000000000000000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>BARO01AC</v>
          </cell>
          <cell r="C169" t="str">
            <v>Barokah Tani/Nur Hisan</v>
          </cell>
          <cell r="D169" t="str">
            <v>Wahyu Dwi Sulistyo</v>
          </cell>
          <cell r="E169" t="str">
            <v>Dusun Kerok, RT.020/RW.003, Kel. Montongsekar, Kec. Montong</v>
          </cell>
          <cell r="F169" t="str">
            <v>Tuban</v>
          </cell>
          <cell r="G169" t="str">
            <v>3523100712930001</v>
          </cell>
          <cell r="H169" t="str">
            <v>000000000000000</v>
          </cell>
          <cell r="I169" t="str">
            <v>T masuk Acak</v>
          </cell>
          <cell r="J169">
            <v>0</v>
          </cell>
          <cell r="K169">
            <v>0</v>
          </cell>
          <cell r="L169">
            <v>0</v>
          </cell>
        </row>
        <row r="170">
          <cell r="B170" t="str">
            <v>BARO02AC</v>
          </cell>
          <cell r="C170" t="str">
            <v>Barokah Tani/Nur Hisan</v>
          </cell>
          <cell r="D170" t="str">
            <v>Nurhadi</v>
          </cell>
          <cell r="E170" t="str">
            <v>Pucangan, RT.003/RW.007, Kel. Pucangan, Kec. Montong</v>
          </cell>
          <cell r="F170" t="str">
            <v>Tuban</v>
          </cell>
          <cell r="G170" t="str">
            <v>3523101310850003</v>
          </cell>
          <cell r="H170" t="str">
            <v>000000000000000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>BARO03AC</v>
          </cell>
          <cell r="C171" t="str">
            <v>Barokah Tani/Nur Hisan</v>
          </cell>
          <cell r="D171" t="str">
            <v>Deni Darmawan</v>
          </cell>
          <cell r="E171" t="str">
            <v>Dusun Karang Mulyo, RT.004/RW.002, Kel. Karanglo, Kec. Kerek</v>
          </cell>
          <cell r="F171" t="str">
            <v>Tuban</v>
          </cell>
          <cell r="G171" t="str">
            <v>3523080910010001</v>
          </cell>
          <cell r="H171" t="str">
            <v>000000000000000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 t="str">
            <v>BARO04AC</v>
          </cell>
          <cell r="C172" t="str">
            <v>Barokah Tani/Nur Hisan</v>
          </cell>
          <cell r="D172" t="str">
            <v>Wawan Adi</v>
          </cell>
          <cell r="E172" t="str">
            <v>Karang Mulyo, RT.004/RW.001, Kel. Karanglo, Kec. Kerek</v>
          </cell>
          <cell r="F172" t="str">
            <v>Tuban</v>
          </cell>
          <cell r="G172" t="str">
            <v>3523081910980003</v>
          </cell>
          <cell r="H172" t="str">
            <v>000000000000000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 t="str">
            <v>BARO05AC</v>
          </cell>
          <cell r="C173" t="str">
            <v>Barokah Tani/Nur Hisan</v>
          </cell>
          <cell r="D173" t="str">
            <v>Dwifa Meitirta</v>
          </cell>
          <cell r="E173" t="str">
            <v>Dusun Karang Mulyo, RT.004/RW.002, Kel. Karanglo, Kec. Kerek</v>
          </cell>
          <cell r="F173" t="str">
            <v>Tuban</v>
          </cell>
          <cell r="G173" t="str">
            <v>3523085705020001</v>
          </cell>
          <cell r="H173" t="str">
            <v>000000000000000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 t="str">
            <v>BAWA01AC</v>
          </cell>
          <cell r="C174" t="str">
            <v>Bawang Merah, UD</v>
          </cell>
          <cell r="D174" t="str">
            <v>Haerudin</v>
          </cell>
          <cell r="E174" t="str">
            <v>Dusun Ompu Boy, RT.003/RW.001, Kel. Monta, Kec. Monta</v>
          </cell>
          <cell r="F174" t="str">
            <v>Bima</v>
          </cell>
          <cell r="G174" t="str">
            <v>5206012512001004</v>
          </cell>
          <cell r="H174" t="str">
            <v>000000000000000</v>
          </cell>
          <cell r="I174" t="str">
            <v>2023 tidak ada Z</v>
          </cell>
          <cell r="J174">
            <v>0</v>
          </cell>
          <cell r="K174">
            <v>0</v>
          </cell>
          <cell r="L174">
            <v>0</v>
          </cell>
        </row>
        <row r="175">
          <cell r="B175" t="str">
            <v>BAWA02AC</v>
          </cell>
          <cell r="C175" t="str">
            <v>Bawang Merah, UD</v>
          </cell>
          <cell r="D175" t="str">
            <v>Wiranto</v>
          </cell>
          <cell r="E175" t="str">
            <v>Monta, RT.002/RW.001, Kel. Monta, Kec. Monta</v>
          </cell>
          <cell r="F175" t="str">
            <v>Bima</v>
          </cell>
          <cell r="G175" t="str">
            <v>5206011404990001</v>
          </cell>
          <cell r="H175" t="str">
            <v>000000000000000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 t="str">
            <v>BAWA03AC</v>
          </cell>
          <cell r="C176" t="str">
            <v>Bawang Merah, UD</v>
          </cell>
          <cell r="D176" t="str">
            <v>Musa</v>
          </cell>
          <cell r="E176" t="str">
            <v>Monta, RT.005/RW.002, Kel. Monta, Kec. Monta</v>
          </cell>
          <cell r="F176" t="str">
            <v>Bima</v>
          </cell>
          <cell r="G176" t="str">
            <v>5206010107691175</v>
          </cell>
          <cell r="H176" t="str">
            <v>000000000000000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 t="str">
            <v>BAWA04AC</v>
          </cell>
          <cell r="C177" t="str">
            <v>Bawang Merah, UD</v>
          </cell>
          <cell r="D177" t="str">
            <v>Irwan</v>
          </cell>
          <cell r="E177" t="str">
            <v>Dusun II, RT.004/RW.002, Kel. Monta, Kec. Monta</v>
          </cell>
          <cell r="F177" t="str">
            <v>Bima</v>
          </cell>
          <cell r="G177" t="str">
            <v>5206011101820003</v>
          </cell>
          <cell r="H177" t="str">
            <v>000000000000000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 t="str">
            <v>BAWA05AC</v>
          </cell>
          <cell r="C178" t="str">
            <v>Bawang Merah, UD</v>
          </cell>
          <cell r="D178" t="str">
            <v>Ramlin</v>
          </cell>
          <cell r="E178" t="str">
            <v>Monta, RT.001/RW.001, Kel. Monta, Kec. Monta</v>
          </cell>
          <cell r="F178" t="str">
            <v>Bima</v>
          </cell>
          <cell r="G178" t="str">
            <v>5206011810921003</v>
          </cell>
          <cell r="H178" t="str">
            <v>000000000000000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 t="str">
            <v>BERK10AC</v>
          </cell>
          <cell r="C179" t="str">
            <v>Berkah Tani/Cupo</v>
          </cell>
          <cell r="D179" t="str">
            <v>Tubari</v>
          </cell>
          <cell r="E179" t="str">
            <v>Dsn. Tirtoasri, RT.03/RW.28, Kel. Andongsari, Kec. Ambulu</v>
          </cell>
          <cell r="F179" t="str">
            <v>Jember</v>
          </cell>
          <cell r="G179" t="str">
            <v>3509120107620161</v>
          </cell>
          <cell r="H179" t="str">
            <v>000000000000000</v>
          </cell>
          <cell r="I179" t="str">
            <v>T masuk Acak</v>
          </cell>
          <cell r="J179">
            <v>60567999.999921501</v>
          </cell>
          <cell r="K179">
            <v>0</v>
          </cell>
          <cell r="L179">
            <v>60567999.999921501</v>
          </cell>
        </row>
        <row r="180">
          <cell r="B180" t="str">
            <v>BERK11AC</v>
          </cell>
          <cell r="C180" t="str">
            <v>Berkah Tani/Cupo</v>
          </cell>
          <cell r="D180" t="str">
            <v>Suwono</v>
          </cell>
          <cell r="E180" t="str">
            <v>Dsn. Tirtoasri, RT.03/RW.28, Kel. Andongsari, Kec. Ambulu</v>
          </cell>
          <cell r="F180" t="str">
            <v>Jember</v>
          </cell>
          <cell r="G180" t="str">
            <v>3509120107650477</v>
          </cell>
          <cell r="H180" t="str">
            <v>000000000000000</v>
          </cell>
          <cell r="J180">
            <v>45359999.999999002</v>
          </cell>
          <cell r="K180">
            <v>0</v>
          </cell>
          <cell r="L180">
            <v>45359999.999999002</v>
          </cell>
        </row>
        <row r="181">
          <cell r="B181" t="str">
            <v>BERK12AC</v>
          </cell>
          <cell r="C181" t="str">
            <v>Berkah Tani/Cupo</v>
          </cell>
          <cell r="D181" t="str">
            <v>Arif Sugito</v>
          </cell>
          <cell r="E181" t="str">
            <v>Dsn. Tirtoasri, RT.01/RW.27, Kel. Andongsari, Kec. Ambulu</v>
          </cell>
          <cell r="F181" t="str">
            <v>Jember</v>
          </cell>
          <cell r="G181" t="str">
            <v>3509122502720001</v>
          </cell>
          <cell r="H181" t="str">
            <v>000000000000000</v>
          </cell>
          <cell r="J181">
            <v>39699199.9999265</v>
          </cell>
          <cell r="K181">
            <v>0</v>
          </cell>
          <cell r="L181">
            <v>39699199.9999265</v>
          </cell>
        </row>
        <row r="182">
          <cell r="B182" t="str">
            <v>BERK13AC</v>
          </cell>
          <cell r="C182" t="str">
            <v>Berkah Tani/Cupo</v>
          </cell>
          <cell r="D182" t="str">
            <v>Imam Hanafi</v>
          </cell>
          <cell r="E182" t="str">
            <v>Dsn. Tirtoasri, RT.02/RW.28, Kel. Andongsari, Kec. Ambulu</v>
          </cell>
          <cell r="F182" t="str">
            <v>Jember</v>
          </cell>
          <cell r="G182" t="str">
            <v>3509120107850254</v>
          </cell>
          <cell r="H182" t="str">
            <v>000000000000000</v>
          </cell>
          <cell r="J182">
            <v>27447999.999945499</v>
          </cell>
          <cell r="K182">
            <v>0</v>
          </cell>
          <cell r="L182">
            <v>27447999.999945499</v>
          </cell>
        </row>
        <row r="183">
          <cell r="B183" t="str">
            <v>BERK14AC</v>
          </cell>
          <cell r="C183" t="str">
            <v>Berkah Tani/Cupo</v>
          </cell>
          <cell r="D183" t="str">
            <v>Satuman</v>
          </cell>
          <cell r="E183" t="str">
            <v>Dsn. Tirtoasri, RT.02/RW.26, Kel. Andongsari, Kec. Ambulu</v>
          </cell>
          <cell r="F183" t="str">
            <v>Jember</v>
          </cell>
          <cell r="G183" t="str">
            <v>3509120107600343</v>
          </cell>
          <cell r="H183" t="str">
            <v>000000000000000</v>
          </cell>
          <cell r="J183">
            <v>21710399.9999476</v>
          </cell>
          <cell r="K183">
            <v>0</v>
          </cell>
          <cell r="L183">
            <v>21710399.9999476</v>
          </cell>
        </row>
        <row r="184">
          <cell r="B184" t="str">
            <v>FALI01AC</v>
          </cell>
          <cell r="C184" t="str">
            <v>Berkah Tani/Falichul</v>
          </cell>
          <cell r="D184" t="str">
            <v>Asmaiyah</v>
          </cell>
          <cell r="E184" t="str">
            <v>Kuro, RT.02/RW.01, Kel. Kuro, Kec. Karangbinangun</v>
          </cell>
          <cell r="F184" t="str">
            <v>Lamongan</v>
          </cell>
          <cell r="G184" t="str">
            <v>3524244309700001</v>
          </cell>
          <cell r="H184" t="str">
            <v>000000000000000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 t="str">
            <v>FALI02AC</v>
          </cell>
          <cell r="C185" t="str">
            <v>Berkah Tani/Falichul</v>
          </cell>
          <cell r="D185" t="str">
            <v>Adi Farid</v>
          </cell>
          <cell r="E185" t="str">
            <v>Pedurungan, RT.02/RW.01, Kel. Dukuhtunggal, Kec. Glagah</v>
          </cell>
          <cell r="F185" t="str">
            <v>Lamongan</v>
          </cell>
          <cell r="G185" t="str">
            <v>3524262712790001</v>
          </cell>
          <cell r="H185" t="str">
            <v>000000000000000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 t="str">
            <v>FALI03AC</v>
          </cell>
          <cell r="C186" t="str">
            <v>Berkah Tani/Falichul</v>
          </cell>
          <cell r="D186" t="str">
            <v>Mustarifah</v>
          </cell>
          <cell r="E186" t="str">
            <v>Pedurungan, RT.01/RW.02, Kel. Dukuhtunggal, Kec. Glagah</v>
          </cell>
          <cell r="F186" t="str">
            <v>Lamongan</v>
          </cell>
          <cell r="G186" t="str">
            <v>3524264307800003</v>
          </cell>
          <cell r="H186" t="str">
            <v>000000000000000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 t="str">
            <v>FALI04AC</v>
          </cell>
          <cell r="C187" t="str">
            <v>Berkah Tani/Falichul</v>
          </cell>
          <cell r="D187" t="str">
            <v>Hayyinatul Funun</v>
          </cell>
          <cell r="E187" t="str">
            <v>Pedurungan, RT.02/RW.01, Kel. Dukuhtunggal, Kec. Glagah</v>
          </cell>
          <cell r="F187" t="str">
            <v>Lamongan</v>
          </cell>
          <cell r="G187" t="str">
            <v>3524265306840001</v>
          </cell>
          <cell r="H187" t="str">
            <v>000000000000000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 t="str">
            <v>FALI05AC</v>
          </cell>
          <cell r="C188" t="str">
            <v>Berkah Tani/Falichul</v>
          </cell>
          <cell r="D188" t="str">
            <v>Elya Agustina</v>
          </cell>
          <cell r="E188" t="str">
            <v>Tenggumung Karya, RT.02/RW.04, Kel.Pegirian, Kec. Semampir</v>
          </cell>
          <cell r="F188" t="str">
            <v>Surabaya</v>
          </cell>
          <cell r="G188" t="str">
            <v>3524266908820001</v>
          </cell>
          <cell r="H188" t="str">
            <v>000000000000000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 t="str">
            <v>FALI06AC</v>
          </cell>
          <cell r="C189" t="str">
            <v>Berkah Tani/Falichul</v>
          </cell>
          <cell r="D189" t="str">
            <v>Siti Susaeni</v>
          </cell>
          <cell r="E189" t="str">
            <v>Jatisari, RT.02/RW.01, Kel.Jatirenggo, Kec. Glagah</v>
          </cell>
          <cell r="F189" t="str">
            <v>Lamongan</v>
          </cell>
          <cell r="G189" t="str">
            <v>3524264101590075</v>
          </cell>
          <cell r="H189" t="str">
            <v>000000000000000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 t="str">
            <v>FALI07AC</v>
          </cell>
          <cell r="C190" t="str">
            <v>Berkah Tani/Falichul</v>
          </cell>
          <cell r="D190" t="str">
            <v>Umu Choiriyah</v>
          </cell>
          <cell r="E190" t="str">
            <v>Pedurungan, RT.02/RW.01, Kel. Dukuhtunggal, Kec. Glagah</v>
          </cell>
          <cell r="F190" t="str">
            <v>Lamongan</v>
          </cell>
          <cell r="G190" t="str">
            <v>3524265801800002</v>
          </cell>
          <cell r="H190" t="str">
            <v>000000000000000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 t="str">
            <v>FALI08AC</v>
          </cell>
          <cell r="C191" t="str">
            <v>Berkah Tani/Falichul</v>
          </cell>
          <cell r="D191" t="str">
            <v>Ah Zainul Mahasin</v>
          </cell>
          <cell r="E191" t="str">
            <v>Kuro, RT.02/RW.01, Kel. Kuro, Kec. Karangbinangun</v>
          </cell>
          <cell r="F191" t="str">
            <v>Lamongan</v>
          </cell>
          <cell r="G191" t="str">
            <v>3524242504740001</v>
          </cell>
          <cell r="H191" t="str">
            <v>000000000000000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 t="str">
            <v>FALI09AC</v>
          </cell>
          <cell r="C192" t="str">
            <v>Berkah Tani/Falichul</v>
          </cell>
          <cell r="D192" t="str">
            <v>Moh. Fathur Rozaq</v>
          </cell>
          <cell r="E192" t="str">
            <v>Meluwur, RT.002/RW.001, Kel. Meluwur, Kec. Glagah</v>
          </cell>
          <cell r="F192" t="str">
            <v>Lamongan</v>
          </cell>
          <cell r="G192" t="str">
            <v>3524260701820002</v>
          </cell>
          <cell r="H192" t="str">
            <v>000000000000000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 t="str">
            <v>FALI10AC</v>
          </cell>
          <cell r="C193" t="str">
            <v>Berkah Tani/Falichul</v>
          </cell>
          <cell r="D193" t="str">
            <v>Nur Kholis</v>
          </cell>
          <cell r="E193" t="str">
            <v>Dusun Bapuh, RT.03/RW.01, Kel. Bapuhbaru, Kec. Glagah</v>
          </cell>
          <cell r="F193" t="str">
            <v>Lamongan</v>
          </cell>
          <cell r="G193" t="str">
            <v>3507252412740001</v>
          </cell>
          <cell r="H193" t="str">
            <v>000000000000000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 t="str">
            <v>FALI11AC</v>
          </cell>
          <cell r="C194" t="str">
            <v>Berkah Tani/Falichul</v>
          </cell>
          <cell r="D194" t="str">
            <v>Muhammad Fuad</v>
          </cell>
          <cell r="E194" t="str">
            <v>Pedurungan, RT.03/RW.02, Kel. Dukuhtunggal, Kec. Glagah</v>
          </cell>
          <cell r="F194" t="str">
            <v>Lamongan</v>
          </cell>
          <cell r="G194" t="str">
            <v>3524262211770001</v>
          </cell>
          <cell r="H194" t="str">
            <v>000000000000000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 t="str">
            <v>FALI12AC</v>
          </cell>
          <cell r="C195" t="str">
            <v>Berkah Tani/Falichul</v>
          </cell>
          <cell r="D195" t="str">
            <v>Abdul Buari</v>
          </cell>
          <cell r="E195" t="str">
            <v>Meluwur, RT.01/RW.01, Kel. Meluwur, Kec. Glagah</v>
          </cell>
          <cell r="F195" t="str">
            <v>Lamongan</v>
          </cell>
          <cell r="G195" t="str">
            <v>3524260208760001</v>
          </cell>
          <cell r="H195" t="str">
            <v>000000000000000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 t="str">
            <v>FALI13AC</v>
          </cell>
          <cell r="C196" t="str">
            <v>Berkah Tani/Falichul</v>
          </cell>
          <cell r="D196" t="str">
            <v>Munawi</v>
          </cell>
          <cell r="E196" t="str">
            <v>Meluwur, RT.01/RW.01, Kel. Meluwur, Kec. Glagah</v>
          </cell>
          <cell r="F196" t="str">
            <v>Lamongan</v>
          </cell>
          <cell r="G196" t="str">
            <v>3524261012470001</v>
          </cell>
          <cell r="H196" t="str">
            <v>000000000000000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 t="str">
            <v>FALI14AC</v>
          </cell>
          <cell r="C197" t="str">
            <v>Berkah Tani/Falichul</v>
          </cell>
          <cell r="D197" t="str">
            <v>Mukaromin</v>
          </cell>
          <cell r="E197" t="str">
            <v>Meluwur, RT.01/RW.01, Kel. Meluwur, Kec. Glagah</v>
          </cell>
          <cell r="F197" t="str">
            <v>Lamongan</v>
          </cell>
          <cell r="G197" t="str">
            <v>3524260506640001</v>
          </cell>
          <cell r="H197" t="str">
            <v>000000000000000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 t="str">
            <v>FALI15AC</v>
          </cell>
          <cell r="C198" t="str">
            <v>Berkah Tani/Falichul</v>
          </cell>
          <cell r="D198" t="str">
            <v>Kaderi</v>
          </cell>
          <cell r="E198" t="str">
            <v>Meluwur, RT.02/RW.01, Kel. Meluwur, Kec. Glagah</v>
          </cell>
          <cell r="F198" t="str">
            <v>Lamongan</v>
          </cell>
          <cell r="G198" t="str">
            <v>3524260603560001</v>
          </cell>
          <cell r="H198" t="str">
            <v>000000000000000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 t="str">
            <v>FALI16AC</v>
          </cell>
          <cell r="C199" t="str">
            <v>Berkah Tani/Falichul</v>
          </cell>
          <cell r="D199" t="str">
            <v>Moh. Sholeh</v>
          </cell>
          <cell r="E199" t="str">
            <v>Meluwur, RT.01/RW.01, Kel. Meluwur, Kec. Glagah</v>
          </cell>
          <cell r="F199" t="str">
            <v>Lamongan</v>
          </cell>
          <cell r="G199" t="str">
            <v>3524260503550001</v>
          </cell>
          <cell r="H199" t="str">
            <v>000000000000000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 t="str">
            <v>FALI17AC</v>
          </cell>
          <cell r="C200" t="str">
            <v>Berkah Tani/Falichul</v>
          </cell>
          <cell r="D200" t="str">
            <v>Supenan</v>
          </cell>
          <cell r="E200" t="str">
            <v>Meluwur, RT.02/RW.03, Kel. Meluwur, Kec. Glagah</v>
          </cell>
          <cell r="F200" t="str">
            <v>Lamongan</v>
          </cell>
          <cell r="G200" t="str">
            <v>3524262406640001</v>
          </cell>
          <cell r="H200" t="str">
            <v>000000000000000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 t="str">
            <v>FALI18AC</v>
          </cell>
          <cell r="C201" t="str">
            <v>Berkah Tani/Falichul</v>
          </cell>
          <cell r="D201" t="str">
            <v>Syafaat</v>
          </cell>
          <cell r="E201" t="str">
            <v>Meluwur, RT.02/RW.03, Kel. Meluwur, Kec. Glagah</v>
          </cell>
          <cell r="F201" t="str">
            <v>Lamongan</v>
          </cell>
          <cell r="G201" t="str">
            <v>3524262908650002</v>
          </cell>
          <cell r="H201" t="str">
            <v>000000000000000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 t="str">
            <v>FALI19AC</v>
          </cell>
          <cell r="C202" t="str">
            <v>Berkah Tani/Falichul</v>
          </cell>
          <cell r="D202" t="str">
            <v>M. Ali Mas' Ud</v>
          </cell>
          <cell r="E202" t="str">
            <v>Meluwur, RT.01/RW.03, Kel. Meluwur, Kec. Glagah</v>
          </cell>
          <cell r="F202" t="str">
            <v>Lamongan</v>
          </cell>
          <cell r="G202" t="str">
            <v>3524262211840002</v>
          </cell>
          <cell r="H202" t="str">
            <v>000000000000000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 t="str">
            <v>FALI20AC</v>
          </cell>
          <cell r="C203" t="str">
            <v>Berkah Tani/Falichul</v>
          </cell>
          <cell r="D203" t="str">
            <v>Ahmad Farikhin</v>
          </cell>
          <cell r="E203" t="str">
            <v>Meluwur, RT.01/RW.02, Kel. Meluwur, Kec. Glagah</v>
          </cell>
          <cell r="F203" t="str">
            <v>Lamongan</v>
          </cell>
          <cell r="G203" t="str">
            <v>3525101804730002</v>
          </cell>
          <cell r="H203" t="str">
            <v>000000000000000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 t="str">
            <v>FALI21AC</v>
          </cell>
          <cell r="C204" t="str">
            <v>Berkah Tani/Falichul</v>
          </cell>
          <cell r="D204" t="str">
            <v>Mujairi</v>
          </cell>
          <cell r="E204" t="str">
            <v>Meluwur, RT.01/RW.02, Kel. Meluwur, Kec. Glagah</v>
          </cell>
          <cell r="F204" t="str">
            <v>Lamongan</v>
          </cell>
          <cell r="G204" t="str">
            <v>3524261807670001</v>
          </cell>
          <cell r="H204" t="str">
            <v>000000000000000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 t="str">
            <v>FALI22AC</v>
          </cell>
          <cell r="C205" t="str">
            <v>Berkah Tani/Falichul</v>
          </cell>
          <cell r="D205" t="str">
            <v>Mustaqim</v>
          </cell>
          <cell r="E205" t="str">
            <v>Meluwur, RT.02/RW.01, Kel. Meluwur, Kec. Glagah</v>
          </cell>
          <cell r="F205" t="str">
            <v>Lamongan</v>
          </cell>
          <cell r="G205" t="str">
            <v>3524261005670004</v>
          </cell>
          <cell r="H205" t="str">
            <v>000000000000000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 t="str">
            <v>FALI23AC</v>
          </cell>
          <cell r="C206" t="str">
            <v>Berkah Tani/Falichul</v>
          </cell>
          <cell r="D206" t="str">
            <v>Mukromin</v>
          </cell>
          <cell r="E206" t="str">
            <v>Meluwur, RT.01/RW.02, Kel. Meluwur, Kec. Glagah</v>
          </cell>
          <cell r="F206" t="str">
            <v>Lamongan</v>
          </cell>
          <cell r="G206" t="str">
            <v>3525101005780003</v>
          </cell>
          <cell r="H206" t="str">
            <v>000000000000000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 t="str">
            <v>FALI24AC</v>
          </cell>
          <cell r="C207" t="str">
            <v>Berkah Tani/Falichul</v>
          </cell>
          <cell r="D207" t="str">
            <v>A. Arifuddin</v>
          </cell>
          <cell r="E207" t="str">
            <v>Meluwur, RT.02/RW.02, Kel. Meluwur, Kec. Glagah</v>
          </cell>
          <cell r="F207" t="str">
            <v>Lamongan</v>
          </cell>
          <cell r="G207" t="str">
            <v>3524260907750001</v>
          </cell>
          <cell r="H207" t="str">
            <v>000000000000000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 t="str">
            <v>FALI25AC</v>
          </cell>
          <cell r="C208" t="str">
            <v>Berkah Tani/Falichul</v>
          </cell>
          <cell r="D208" t="str">
            <v>Kasmolan</v>
          </cell>
          <cell r="E208" t="str">
            <v>Meluwur, RT.02/RW.02, Kel. Meluwur, Kec. Glagah</v>
          </cell>
          <cell r="F208" t="str">
            <v>Lamongan</v>
          </cell>
          <cell r="G208" t="str">
            <v>3524261304730004</v>
          </cell>
          <cell r="H208" t="str">
            <v>000000000000000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 t="str">
            <v>FALI26AC</v>
          </cell>
          <cell r="C209" t="str">
            <v>Berkah Tani/Falichul</v>
          </cell>
          <cell r="D209" t="str">
            <v>Ach. Aminul Wahib</v>
          </cell>
          <cell r="E209" t="str">
            <v>Meluwur, RT.02/RW.02, Kel. Meluwur, Kec. Glagah</v>
          </cell>
          <cell r="F209" t="str">
            <v>Lamongan</v>
          </cell>
          <cell r="G209" t="str">
            <v>3524261405800001</v>
          </cell>
          <cell r="H209" t="str">
            <v>000000000000000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 t="str">
            <v>FALI27AC</v>
          </cell>
          <cell r="C210" t="str">
            <v>Berkah Tani/Falichul</v>
          </cell>
          <cell r="D210" t="str">
            <v>Abd. Rokhim</v>
          </cell>
          <cell r="E210" t="str">
            <v>Meluwur, RT.02/RW.01, Kel. Meluwur, Kec. Glagah</v>
          </cell>
          <cell r="F210" t="str">
            <v>Lamongan</v>
          </cell>
          <cell r="G210" t="str">
            <v>3524260812600001</v>
          </cell>
          <cell r="H210" t="str">
            <v>000000000000000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 t="str">
            <v>FALI28AC</v>
          </cell>
          <cell r="C211" t="str">
            <v>Berkah Tani/Falichul</v>
          </cell>
          <cell r="D211" t="str">
            <v>Mulyono</v>
          </cell>
          <cell r="E211" t="str">
            <v>Meluwur, RT.02/RW.03, Kel. Meluwur, Kec. Glagah</v>
          </cell>
          <cell r="F211" t="str">
            <v>Lamongan</v>
          </cell>
          <cell r="G211" t="str">
            <v>3524262206810002</v>
          </cell>
          <cell r="H211" t="str">
            <v>000000000000000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 t="str">
            <v>FALI29AC</v>
          </cell>
          <cell r="C212" t="str">
            <v>Berkah Tani/Falichul</v>
          </cell>
          <cell r="D212" t="str">
            <v>Ainur Ya'in</v>
          </cell>
          <cell r="E212" t="str">
            <v>Meluwur, RT.02/RW.03, Kel. Meluwur, Kec. Glagah</v>
          </cell>
          <cell r="F212" t="str">
            <v>Lamongan</v>
          </cell>
          <cell r="G212" t="str">
            <v>3524260810600001</v>
          </cell>
          <cell r="H212" t="str">
            <v>000000000000000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 t="str">
            <v>FALI30AC</v>
          </cell>
          <cell r="C213" t="str">
            <v>Berkah Tani/Falichul</v>
          </cell>
          <cell r="D213" t="str">
            <v>Hasanuddin</v>
          </cell>
          <cell r="E213" t="str">
            <v>Meluwur, RT.01/RW.03, Kel. Meluwur, Kec. Glagah</v>
          </cell>
          <cell r="F213" t="str">
            <v>Lamongan</v>
          </cell>
          <cell r="G213" t="str">
            <v>3524262206790001</v>
          </cell>
          <cell r="H213" t="str">
            <v>000000000000000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 t="str">
            <v>FALI31AC</v>
          </cell>
          <cell r="C214" t="str">
            <v>Berkah Tani/Falichul</v>
          </cell>
          <cell r="D214" t="str">
            <v>Edy Cahyono</v>
          </cell>
          <cell r="E214" t="str">
            <v>Meluwur, RT.02/RW.03, Kel. Meluwur, Kec. Glagah</v>
          </cell>
          <cell r="F214" t="str">
            <v>Lamongan</v>
          </cell>
          <cell r="G214" t="str">
            <v>3524261901840003</v>
          </cell>
          <cell r="H214" t="str">
            <v>000000000000000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 t="str">
            <v>FALI32AC</v>
          </cell>
          <cell r="C215" t="str">
            <v>Berkah Tani/Falichul</v>
          </cell>
          <cell r="D215" t="str">
            <v>Selamet</v>
          </cell>
          <cell r="E215" t="str">
            <v>Meluwur, RT.01/RW.03, Kel. Meluwur, Kec. Glagah</v>
          </cell>
          <cell r="F215" t="str">
            <v>Lamongan</v>
          </cell>
          <cell r="G215" t="str">
            <v>3524261808610001</v>
          </cell>
          <cell r="H215" t="str">
            <v>000000000000000</v>
          </cell>
          <cell r="J215">
            <v>0</v>
          </cell>
          <cell r="K215">
            <v>0</v>
          </cell>
          <cell r="L215">
            <v>0</v>
          </cell>
        </row>
        <row r="216">
          <cell r="B216" t="str">
            <v>FALI33AC</v>
          </cell>
          <cell r="C216" t="str">
            <v>Berkah Tani/Falichul</v>
          </cell>
          <cell r="D216" t="str">
            <v>M. Nadhir</v>
          </cell>
          <cell r="E216" t="str">
            <v>Meluwur, RT.01/RW.03, Kel. Meluwur, Kec. Glagah</v>
          </cell>
          <cell r="F216" t="str">
            <v>Lamongan</v>
          </cell>
          <cell r="G216" t="str">
            <v>3524260101570007</v>
          </cell>
          <cell r="H216" t="str">
            <v>000000000000000</v>
          </cell>
          <cell r="J216">
            <v>0</v>
          </cell>
          <cell r="K216">
            <v>0</v>
          </cell>
          <cell r="L216">
            <v>0</v>
          </cell>
        </row>
        <row r="217">
          <cell r="B217" t="str">
            <v>FALI34AC</v>
          </cell>
          <cell r="C217" t="str">
            <v>Berkah Tani/Falichul</v>
          </cell>
          <cell r="D217" t="str">
            <v>H. Naufal Abdulloh</v>
          </cell>
          <cell r="E217" t="str">
            <v>Meluwur, RT.02/RW.03, Kel. Meluwur, Kec. Glagah</v>
          </cell>
          <cell r="F217" t="str">
            <v>Lamongan</v>
          </cell>
          <cell r="G217" t="str">
            <v>3524262503530001</v>
          </cell>
          <cell r="H217" t="str">
            <v>000000000000000</v>
          </cell>
          <cell r="J217">
            <v>0</v>
          </cell>
          <cell r="K217">
            <v>0</v>
          </cell>
          <cell r="L217">
            <v>0</v>
          </cell>
        </row>
        <row r="218">
          <cell r="B218" t="str">
            <v>FALI35AC</v>
          </cell>
          <cell r="C218" t="str">
            <v>Berkah Tani/Falichul</v>
          </cell>
          <cell r="D218" t="str">
            <v>Muhammad Syafi'i</v>
          </cell>
          <cell r="E218" t="str">
            <v>Meluwur, RT.01/RW.03, Kel. Meluwur, Kec. Glagah</v>
          </cell>
          <cell r="F218" t="str">
            <v>Lamongan</v>
          </cell>
          <cell r="G218" t="str">
            <v>3524262709710001</v>
          </cell>
          <cell r="H218" t="str">
            <v>000000000000000</v>
          </cell>
          <cell r="J218">
            <v>0</v>
          </cell>
          <cell r="K218">
            <v>0</v>
          </cell>
          <cell r="L218">
            <v>0</v>
          </cell>
        </row>
        <row r="219">
          <cell r="B219" t="str">
            <v>FALI36AC</v>
          </cell>
          <cell r="C219" t="str">
            <v>Berkah Tani/Falichul</v>
          </cell>
          <cell r="D219" t="str">
            <v>Ai'd Latif</v>
          </cell>
          <cell r="E219" t="str">
            <v>Meluwur, RT.01/RW.03, Kel. Meluwur, Kec. Glagah</v>
          </cell>
          <cell r="F219" t="str">
            <v>Lamongan</v>
          </cell>
          <cell r="G219" t="str">
            <v>3524261105780003</v>
          </cell>
          <cell r="H219" t="str">
            <v>000000000000000</v>
          </cell>
          <cell r="J219">
            <v>0</v>
          </cell>
          <cell r="K219">
            <v>0</v>
          </cell>
          <cell r="L219">
            <v>0</v>
          </cell>
        </row>
        <row r="220">
          <cell r="B220" t="str">
            <v>FALI37AC</v>
          </cell>
          <cell r="C220" t="str">
            <v>Berkah Tani/Falichul</v>
          </cell>
          <cell r="D220" t="str">
            <v>Muchammad Syafudin</v>
          </cell>
          <cell r="E220" t="str">
            <v>Meluwur, RT.01/RW.03, Kel. Meluwur, Kec. Glagah</v>
          </cell>
          <cell r="F220" t="str">
            <v>Lamongan</v>
          </cell>
          <cell r="G220" t="str">
            <v>3525160507730122</v>
          </cell>
          <cell r="H220" t="str">
            <v>000000000000000</v>
          </cell>
          <cell r="J220">
            <v>0</v>
          </cell>
          <cell r="K220">
            <v>0</v>
          </cell>
          <cell r="L220">
            <v>0</v>
          </cell>
        </row>
        <row r="221">
          <cell r="B221" t="str">
            <v>FALI38AC</v>
          </cell>
          <cell r="C221" t="str">
            <v>Berkah Tani/Falichul</v>
          </cell>
          <cell r="D221" t="str">
            <v>M. Taufiq</v>
          </cell>
          <cell r="E221" t="str">
            <v>Meluwur, RT.02/RW.06, Kel. Meluwur, Kec. Glagah</v>
          </cell>
          <cell r="F221" t="str">
            <v>Lamongan</v>
          </cell>
          <cell r="G221" t="str">
            <v>3524261205690001</v>
          </cell>
          <cell r="H221" t="str">
            <v>000000000000000</v>
          </cell>
          <cell r="J221">
            <v>0</v>
          </cell>
          <cell r="K221">
            <v>0</v>
          </cell>
          <cell r="L221">
            <v>0</v>
          </cell>
        </row>
        <row r="222">
          <cell r="B222" t="str">
            <v>FALI39AC</v>
          </cell>
          <cell r="C222" t="str">
            <v>Berkah Tani/Falichul</v>
          </cell>
          <cell r="D222" t="str">
            <v>Badrul Komar</v>
          </cell>
          <cell r="E222" t="str">
            <v>Meluwur, RT.01/RW.01, Kel. Meluwur, Kec. Glagah</v>
          </cell>
          <cell r="F222" t="str">
            <v>Lamongan</v>
          </cell>
          <cell r="G222" t="str">
            <v>3524260412780001</v>
          </cell>
          <cell r="H222" t="str">
            <v>000000000000000</v>
          </cell>
          <cell r="J222">
            <v>0</v>
          </cell>
          <cell r="K222">
            <v>0</v>
          </cell>
          <cell r="L222">
            <v>0</v>
          </cell>
        </row>
        <row r="223">
          <cell r="B223" t="str">
            <v>FALI40AC</v>
          </cell>
          <cell r="C223" t="str">
            <v>Berkah Tani/Falichul</v>
          </cell>
          <cell r="D223" t="str">
            <v>Shohib</v>
          </cell>
          <cell r="E223" t="str">
            <v>Meluwur, RT.01/RW.02, Kel. Meluwur, Kec. Glagah</v>
          </cell>
          <cell r="F223" t="str">
            <v>Lamongan</v>
          </cell>
          <cell r="G223" t="str">
            <v>3524262506810001</v>
          </cell>
          <cell r="H223" t="str">
            <v>000000000000000</v>
          </cell>
          <cell r="J223">
            <v>0</v>
          </cell>
          <cell r="K223">
            <v>0</v>
          </cell>
          <cell r="L223">
            <v>0</v>
          </cell>
        </row>
        <row r="224">
          <cell r="B224" t="str">
            <v>FALI41AC</v>
          </cell>
          <cell r="C224" t="str">
            <v>Berkah Tani/Falichul</v>
          </cell>
          <cell r="D224" t="str">
            <v>M. Amri Yahya</v>
          </cell>
          <cell r="E224" t="str">
            <v>Meluwur, RT.02/RW.02, Kel. Meluwur, Kec. Glagah</v>
          </cell>
          <cell r="F224" t="str">
            <v>Lamongan</v>
          </cell>
          <cell r="G224" t="str">
            <v>3524261502920001</v>
          </cell>
          <cell r="H224" t="str">
            <v>000000000000000</v>
          </cell>
          <cell r="J224">
            <v>0</v>
          </cell>
          <cell r="K224">
            <v>0</v>
          </cell>
          <cell r="L224">
            <v>0</v>
          </cell>
        </row>
        <row r="225">
          <cell r="B225" t="str">
            <v>FALI42AC</v>
          </cell>
          <cell r="C225" t="str">
            <v>Berkah Tani/Falichul</v>
          </cell>
          <cell r="D225" t="str">
            <v>Mujahidin</v>
          </cell>
          <cell r="E225" t="str">
            <v>Meluwur, RT.01/RW.02, Kel. Meluwur, Kec. Glagah</v>
          </cell>
          <cell r="F225" t="str">
            <v>Lamongan</v>
          </cell>
          <cell r="G225" t="str">
            <v>3524260905690001</v>
          </cell>
          <cell r="H225" t="str">
            <v>000000000000000</v>
          </cell>
          <cell r="J225">
            <v>0</v>
          </cell>
          <cell r="K225">
            <v>0</v>
          </cell>
          <cell r="L225">
            <v>0</v>
          </cell>
        </row>
        <row r="226">
          <cell r="B226" t="str">
            <v>FALI43AC</v>
          </cell>
          <cell r="C226" t="str">
            <v>Berkah Tani/Falichul</v>
          </cell>
          <cell r="D226" t="str">
            <v>Kinun</v>
          </cell>
          <cell r="E226" t="str">
            <v>Meluwur, RT.02/RW.04, Kel. Meluwur, Kec. Glagah</v>
          </cell>
          <cell r="F226" t="str">
            <v>Lamongan</v>
          </cell>
          <cell r="G226" t="str">
            <v>3524260210620001</v>
          </cell>
          <cell r="H226" t="str">
            <v>000000000000000</v>
          </cell>
          <cell r="J226">
            <v>0</v>
          </cell>
          <cell r="K226">
            <v>0</v>
          </cell>
          <cell r="L226">
            <v>0</v>
          </cell>
        </row>
        <row r="227">
          <cell r="B227" t="str">
            <v>FALI44AC</v>
          </cell>
          <cell r="C227" t="str">
            <v>Berkah Tani/Falichul</v>
          </cell>
          <cell r="D227" t="str">
            <v>Miskan</v>
          </cell>
          <cell r="E227" t="str">
            <v>Meluwur, RT.01/RW.02, Kel. Meluwur, Kec. Glagah</v>
          </cell>
          <cell r="F227" t="str">
            <v>Lamongan</v>
          </cell>
          <cell r="G227" t="str">
            <v>3524260110620004</v>
          </cell>
          <cell r="H227" t="str">
            <v>000000000000000</v>
          </cell>
          <cell r="J227">
            <v>0</v>
          </cell>
          <cell r="K227">
            <v>0</v>
          </cell>
          <cell r="L227">
            <v>0</v>
          </cell>
        </row>
        <row r="228">
          <cell r="B228" t="str">
            <v>FALI45AC</v>
          </cell>
          <cell r="C228" t="str">
            <v>Berkah Tani/Falichul</v>
          </cell>
          <cell r="D228" t="str">
            <v>Saiful Arif</v>
          </cell>
          <cell r="E228" t="str">
            <v>Meluwur, RT.02/RW.02, Kel. Meluwur, Kec. Glagah</v>
          </cell>
          <cell r="F228" t="str">
            <v>Lamongan</v>
          </cell>
          <cell r="G228" t="str">
            <v>3524260101750005</v>
          </cell>
          <cell r="H228" t="str">
            <v>000000000000000</v>
          </cell>
          <cell r="J228">
            <v>0</v>
          </cell>
          <cell r="K228">
            <v>0</v>
          </cell>
          <cell r="L228">
            <v>0</v>
          </cell>
        </row>
        <row r="229">
          <cell r="B229" t="str">
            <v>FALI46AC</v>
          </cell>
          <cell r="C229" t="str">
            <v>Berkah Tani/Falichul</v>
          </cell>
          <cell r="D229" t="str">
            <v>Munaj</v>
          </cell>
          <cell r="E229" t="str">
            <v>Meluwur, RT.01/RW.03, Kel. Meluwur, Kec. Glagah</v>
          </cell>
          <cell r="F229" t="str">
            <v>Lamongan</v>
          </cell>
          <cell r="G229" t="str">
            <v>3524260707570001</v>
          </cell>
          <cell r="H229" t="str">
            <v>000000000000000</v>
          </cell>
          <cell r="J229">
            <v>0</v>
          </cell>
          <cell r="K229">
            <v>0</v>
          </cell>
          <cell r="L229">
            <v>0</v>
          </cell>
        </row>
        <row r="230">
          <cell r="B230" t="str">
            <v>FALI47AC</v>
          </cell>
          <cell r="C230" t="str">
            <v>Berkah Tani/Falichul</v>
          </cell>
          <cell r="D230" t="str">
            <v>Mohammad Kholil</v>
          </cell>
          <cell r="E230" t="str">
            <v>Meluwur, RT.02/RW.02, Kel. Meluwur, Kec. Glagah</v>
          </cell>
          <cell r="F230" t="str">
            <v>Lamongan</v>
          </cell>
          <cell r="G230" t="str">
            <v>3524260904570001</v>
          </cell>
          <cell r="H230" t="str">
            <v>000000000000000</v>
          </cell>
          <cell r="J230">
            <v>0</v>
          </cell>
          <cell r="K230">
            <v>0</v>
          </cell>
          <cell r="L230">
            <v>0</v>
          </cell>
        </row>
        <row r="231">
          <cell r="B231" t="str">
            <v>FALI48AC</v>
          </cell>
          <cell r="C231" t="str">
            <v>Berkah Tani/Falichul</v>
          </cell>
          <cell r="D231" t="str">
            <v>Muan</v>
          </cell>
          <cell r="E231" t="str">
            <v>Meluwur, RT.01/RW.02, Kel. Meluwur, Kec. Glagah</v>
          </cell>
          <cell r="F231" t="str">
            <v>Lamongan</v>
          </cell>
          <cell r="G231" t="str">
            <v>3524262406510001</v>
          </cell>
          <cell r="H231" t="str">
            <v>000000000000000</v>
          </cell>
          <cell r="J231">
            <v>0</v>
          </cell>
          <cell r="K231">
            <v>0</v>
          </cell>
          <cell r="L231">
            <v>0</v>
          </cell>
        </row>
        <row r="232">
          <cell r="B232" t="str">
            <v>SURA01AC</v>
          </cell>
          <cell r="C232" t="str">
            <v>Berkah Tani/Suradi</v>
          </cell>
          <cell r="D232" t="str">
            <v>Japar</v>
          </cell>
          <cell r="E232" t="str">
            <v>Dsn. Pojok, RT.001/RW.004, Kel. Plemahan, Kec. Plemahan</v>
          </cell>
          <cell r="F232" t="str">
            <v>Kediri</v>
          </cell>
          <cell r="G232" t="str">
            <v>3506161203800002</v>
          </cell>
          <cell r="H232" t="str">
            <v>000000000000000</v>
          </cell>
          <cell r="J232">
            <v>0</v>
          </cell>
          <cell r="K232">
            <v>0</v>
          </cell>
          <cell r="L232">
            <v>0</v>
          </cell>
        </row>
        <row r="233">
          <cell r="B233" t="str">
            <v>APRA01AC</v>
          </cell>
          <cell r="C233" t="str">
            <v>Bintang Sejahtera/Aprianto</v>
          </cell>
          <cell r="D233" t="str">
            <v>Surya Fitriadi</v>
          </cell>
          <cell r="E233" t="str">
            <v>Rambutan 16 No. 73, RT.001 / 013, Kel. Kuranji, Kec. Kuranji</v>
          </cell>
          <cell r="F233" t="str">
            <v>Padang</v>
          </cell>
          <cell r="G233" t="str">
            <v>1371092308780005</v>
          </cell>
          <cell r="H233" t="str">
            <v>000000000000000</v>
          </cell>
          <cell r="J233">
            <v>0</v>
          </cell>
          <cell r="K233">
            <v>0</v>
          </cell>
          <cell r="L233">
            <v>0</v>
          </cell>
        </row>
        <row r="234">
          <cell r="B234" t="str">
            <v>APRA02AC</v>
          </cell>
          <cell r="C234" t="str">
            <v>Bintang Sejahtera/Aprianto</v>
          </cell>
          <cell r="D234" t="str">
            <v>Daswir</v>
          </cell>
          <cell r="E234" t="str">
            <v>Jl. Imam Bonjol, Kel. Alahan Panjang, Kec. Lembah Gumanti</v>
          </cell>
          <cell r="F234" t="str">
            <v>Solok</v>
          </cell>
          <cell r="G234" t="str">
            <v>1302042001750002</v>
          </cell>
          <cell r="H234" t="str">
            <v>000000000000000</v>
          </cell>
          <cell r="J234">
            <v>0</v>
          </cell>
          <cell r="K234">
            <v>0</v>
          </cell>
          <cell r="L234">
            <v>0</v>
          </cell>
        </row>
        <row r="235">
          <cell r="B235" t="str">
            <v>APRA04AC</v>
          </cell>
          <cell r="C235" t="str">
            <v>Bintang Sejahtera/Aprianto</v>
          </cell>
          <cell r="D235" t="str">
            <v>Rozi Desmi Fitri</v>
          </cell>
          <cell r="E235" t="str">
            <v>Jorong Sungai Pangalek, Kel. Sariak Alahan Tigo, Kec. Hiliran Gumanti</v>
          </cell>
          <cell r="F235" t="str">
            <v>Solok</v>
          </cell>
          <cell r="G235" t="str">
            <v>1302174107960003</v>
          </cell>
          <cell r="H235" t="str">
            <v>000000000000000</v>
          </cell>
          <cell r="J235">
            <v>0</v>
          </cell>
          <cell r="K235">
            <v>0</v>
          </cell>
          <cell r="L235">
            <v>0</v>
          </cell>
        </row>
        <row r="236">
          <cell r="B236" t="str">
            <v>APRA05AC</v>
          </cell>
          <cell r="C236" t="str">
            <v>Bintang Sejahtera/Aprianto</v>
          </cell>
          <cell r="D236" t="str">
            <v>Doni Putra</v>
          </cell>
          <cell r="E236" t="str">
            <v>Jorong Taratak Baru, Kel. Salimpat, Kec. Lembah Gumanti</v>
          </cell>
          <cell r="F236" t="str">
            <v>Solok</v>
          </cell>
          <cell r="G236" t="str">
            <v>1302171203820002</v>
          </cell>
          <cell r="H236" t="str">
            <v>000000000000000</v>
          </cell>
          <cell r="J236">
            <v>0</v>
          </cell>
          <cell r="K236">
            <v>0</v>
          </cell>
          <cell r="L236">
            <v>0</v>
          </cell>
        </row>
        <row r="237">
          <cell r="B237" t="str">
            <v>APRA06AC</v>
          </cell>
          <cell r="C237" t="str">
            <v>Bintang Sejahtera/Aprianto</v>
          </cell>
          <cell r="D237" t="str">
            <v>Isnatil Khairat</v>
          </cell>
          <cell r="E237" t="str">
            <v>Suayan Soriak, Kel. Suayan, Kec. Akabiluru</v>
          </cell>
          <cell r="F237" t="str">
            <v>Lima Puluh Kota</v>
          </cell>
          <cell r="G237" t="str">
            <v>1307135001940001</v>
          </cell>
          <cell r="H237" t="str">
            <v>000000000000000</v>
          </cell>
          <cell r="J237">
            <v>0</v>
          </cell>
          <cell r="K237">
            <v>0</v>
          </cell>
          <cell r="L237">
            <v>0</v>
          </cell>
        </row>
        <row r="238">
          <cell r="B238" t="str">
            <v>SEHF01AC</v>
          </cell>
          <cell r="C238" t="str">
            <v>Cahaya Jaya/Sehfudin</v>
          </cell>
          <cell r="D238" t="str">
            <v>Subadar</v>
          </cell>
          <cell r="E238" t="str">
            <v>Areng-areng Barat, RT.002/RW.003, Kel. Sambisirah, Kec. Wonorejo</v>
          </cell>
          <cell r="F238" t="str">
            <v>Pasuruan</v>
          </cell>
          <cell r="G238" t="str">
            <v>3514072406590001</v>
          </cell>
          <cell r="H238" t="str">
            <v>000000000000000</v>
          </cell>
          <cell r="J238">
            <v>0</v>
          </cell>
          <cell r="K238">
            <v>0</v>
          </cell>
          <cell r="L238">
            <v>0</v>
          </cell>
        </row>
        <row r="239">
          <cell r="B239" t="str">
            <v>SEHF02AC</v>
          </cell>
          <cell r="C239" t="str">
            <v>Cahaya Jaya/Sehfudin</v>
          </cell>
          <cell r="D239" t="str">
            <v>Luqman Hakim</v>
          </cell>
          <cell r="E239" t="str">
            <v>Dsn. Areng-Areng Barat, RT.002/RW.003, Kel. Sambisirah, Kec. Wonorejo</v>
          </cell>
          <cell r="F239" t="str">
            <v>Pasuruan</v>
          </cell>
          <cell r="G239" t="str">
            <v>3514072510720001</v>
          </cell>
          <cell r="H239" t="str">
            <v>000000000000000</v>
          </cell>
          <cell r="J239">
            <v>0</v>
          </cell>
          <cell r="K239">
            <v>0</v>
          </cell>
          <cell r="L239">
            <v>0</v>
          </cell>
        </row>
        <row r="240">
          <cell r="B240" t="str">
            <v>CAMU01AC</v>
          </cell>
          <cell r="C240" t="str">
            <v>Cahaya Mulya</v>
          </cell>
          <cell r="D240" t="str">
            <v>Shokhib Burhan</v>
          </cell>
          <cell r="E240" t="str">
            <v>Dusun Jenisari, RT.001/RW.001, Kel. Genteng Kulon, Kec. Genteng</v>
          </cell>
          <cell r="F240" t="str">
            <v>Banyuwangi</v>
          </cell>
          <cell r="G240" t="str">
            <v>3510092009890002</v>
          </cell>
          <cell r="H240" t="str">
            <v>000000000000000</v>
          </cell>
          <cell r="I240" t="str">
            <v>2025 komersil ( T komersil )</v>
          </cell>
          <cell r="J240">
            <v>0</v>
          </cell>
          <cell r="K240">
            <v>0</v>
          </cell>
          <cell r="L240">
            <v>0</v>
          </cell>
        </row>
        <row r="241">
          <cell r="B241" t="str">
            <v>DEAR01AC</v>
          </cell>
          <cell r="C241" t="str">
            <v>Dear Tani/Suprayitno</v>
          </cell>
          <cell r="D241" t="str">
            <v>Karmi</v>
          </cell>
          <cell r="E241" t="str">
            <v>Dukuh Kalipucang, RT.002/RW.002, Kel. Kedungbanteng, Kec. Sukorejo</v>
          </cell>
          <cell r="F241" t="str">
            <v>Ponorogo</v>
          </cell>
          <cell r="G241" t="str">
            <v>3502154911600001</v>
          </cell>
          <cell r="H241" t="str">
            <v>000000000000000</v>
          </cell>
          <cell r="J241">
            <v>9199999.9999464005</v>
          </cell>
          <cell r="K241">
            <v>0</v>
          </cell>
          <cell r="L241">
            <v>9199999.9999464005</v>
          </cell>
        </row>
        <row r="242">
          <cell r="B242" t="str">
            <v>DELI01AC</v>
          </cell>
          <cell r="C242" t="str">
            <v>Delima, Toko/Nurhasan</v>
          </cell>
          <cell r="D242" t="str">
            <v>Royhana</v>
          </cell>
          <cell r="E242" t="str">
            <v>Jl. Sakapura No. 22, RT.002/RW.002, Kel. Triwung Kidul, Kec. Kademangan</v>
          </cell>
          <cell r="F242" t="str">
            <v>Probolinggo</v>
          </cell>
          <cell r="G242" t="str">
            <v>3513235606880001</v>
          </cell>
          <cell r="H242" t="str">
            <v>000000000000000</v>
          </cell>
          <cell r="I242" t="str">
            <v>LP (Sesuai permintaan Cust. Apa kata SC 29/10/21)(&gt;50jt buka Z, &lt;50jt komersil) info SC 2/8/23</v>
          </cell>
          <cell r="J242">
            <v>92838399.999825999</v>
          </cell>
          <cell r="K242">
            <v>0</v>
          </cell>
          <cell r="L242">
            <v>92838399.999825999</v>
          </cell>
        </row>
        <row r="243">
          <cell r="B243" t="str">
            <v>DELI02AC</v>
          </cell>
          <cell r="C243" t="str">
            <v>Delima, Toko/Nurhasan</v>
          </cell>
          <cell r="D243" t="str">
            <v>Makinul Amin</v>
          </cell>
          <cell r="E243" t="str">
            <v>Dsn. Krajan, RT.002/RW.002, Kel. Triwung Kidul, Kec. Kademangan</v>
          </cell>
          <cell r="F243" t="str">
            <v>Probolinggo</v>
          </cell>
          <cell r="G243" t="str">
            <v>3574012204790005</v>
          </cell>
          <cell r="H243" t="str">
            <v>000000000000000</v>
          </cell>
          <cell r="J243">
            <v>96178399.999869496</v>
          </cell>
          <cell r="K243">
            <v>0</v>
          </cell>
          <cell r="L243">
            <v>96178399.999869496</v>
          </cell>
        </row>
        <row r="244">
          <cell r="B244" t="str">
            <v>DELI03AC</v>
          </cell>
          <cell r="C244" t="str">
            <v>Delima, Toko/Nurhasan</v>
          </cell>
          <cell r="D244" t="str">
            <v>Nurhayati</v>
          </cell>
          <cell r="E244" t="str">
            <v>Jl. Priksan Gg. Karajan No.35, RT.001/RW.017, Kel.Kebonsari Kulon, Kec. Kanigaran</v>
          </cell>
          <cell r="F244" t="str">
            <v>Probolinggo</v>
          </cell>
          <cell r="G244" t="str">
            <v>3574045809820003</v>
          </cell>
          <cell r="H244" t="str">
            <v>000000000000000</v>
          </cell>
          <cell r="J244">
            <v>87690399.999869496</v>
          </cell>
          <cell r="K244">
            <v>0</v>
          </cell>
          <cell r="L244">
            <v>87690399.999869496</v>
          </cell>
        </row>
        <row r="245">
          <cell r="B245" t="str">
            <v>DELI04AC</v>
          </cell>
          <cell r="C245" t="str">
            <v>Delima, Toko/Nurhasan</v>
          </cell>
          <cell r="D245" t="str">
            <v>Muhammad Hosen</v>
          </cell>
          <cell r="E245" t="str">
            <v>Jl. Mayangan No. 327, RT.006/RW.002, Kel. Bantaran, Kec. Bantaran</v>
          </cell>
          <cell r="F245" t="str">
            <v>Probolinggo</v>
          </cell>
          <cell r="G245" t="str">
            <v>3513040107800033</v>
          </cell>
          <cell r="H245" t="str">
            <v>000000000000000</v>
          </cell>
          <cell r="J245">
            <v>111715199.999826</v>
          </cell>
          <cell r="K245">
            <v>0</v>
          </cell>
          <cell r="L245">
            <v>111715199.999826</v>
          </cell>
        </row>
        <row r="246">
          <cell r="B246" t="str">
            <v>DELI06AC</v>
          </cell>
          <cell r="C246" t="str">
            <v>Delima, Toko/Nurhasan</v>
          </cell>
          <cell r="D246" t="str">
            <v>Delta Amalia</v>
          </cell>
          <cell r="E246" t="str">
            <v>Dsn. Tegal Juwet, RT.014/RW.005, Kel. Sumberbulu, Kec. Tegalsiwalan</v>
          </cell>
          <cell r="F246" t="str">
            <v>Probolinggo</v>
          </cell>
          <cell r="G246" t="str">
            <v>3513054607940003</v>
          </cell>
          <cell r="H246" t="str">
            <v>000000000000000</v>
          </cell>
          <cell r="J246">
            <v>86569600</v>
          </cell>
          <cell r="K246">
            <v>0</v>
          </cell>
          <cell r="L246">
            <v>86569600</v>
          </cell>
        </row>
        <row r="247">
          <cell r="B247" t="str">
            <v>DELI07AC</v>
          </cell>
          <cell r="C247" t="str">
            <v>Delima, Toko/Nurhasan</v>
          </cell>
          <cell r="D247" t="str">
            <v>Enggik Yeni Saputra</v>
          </cell>
          <cell r="E247" t="str">
            <v>Dsn. Tegal Juwet, RT.014/RW.005, Kel. Sumberbulu, Kec. Tegalsiwalan</v>
          </cell>
          <cell r="F247" t="str">
            <v>Probolinggo</v>
          </cell>
          <cell r="G247" t="str">
            <v>3513201001910001</v>
          </cell>
          <cell r="H247" t="str">
            <v>000000000000000</v>
          </cell>
          <cell r="J247">
            <v>86996799.999985009</v>
          </cell>
          <cell r="K247">
            <v>0</v>
          </cell>
          <cell r="L247">
            <v>86996799.999985009</v>
          </cell>
        </row>
        <row r="248">
          <cell r="B248" t="str">
            <v>DELI08AC</v>
          </cell>
          <cell r="C248" t="str">
            <v>Delima, Toko/Nurhasan</v>
          </cell>
          <cell r="D248" t="str">
            <v>Muhammad Hermanto</v>
          </cell>
          <cell r="E248" t="str">
            <v>Dsn. Sumbermuning, RT.009/002, Kel. Tegalsiwalan, Kec. Tegalsiwalan</v>
          </cell>
          <cell r="F248" t="str">
            <v>Probolinggo</v>
          </cell>
          <cell r="G248" t="str">
            <v>3513201512960001</v>
          </cell>
          <cell r="H248" t="str">
            <v>000000000000000</v>
          </cell>
          <cell r="J248">
            <v>99007999.999683022</v>
          </cell>
          <cell r="K248">
            <v>0</v>
          </cell>
          <cell r="L248">
            <v>99007999.999683022</v>
          </cell>
        </row>
        <row r="249">
          <cell r="B249" t="str">
            <v>DELI09AC</v>
          </cell>
          <cell r="C249" t="str">
            <v>Delima, Toko/Nurhasan</v>
          </cell>
          <cell r="D249" t="str">
            <v>Suparmi</v>
          </cell>
          <cell r="E249" t="str">
            <v>Dsn. Sumbermuning, RT.009/002, Kel. Tegalsiwalan, Kec. Tegalsiwalan</v>
          </cell>
          <cell r="F249" t="str">
            <v>Probolinggo</v>
          </cell>
          <cell r="G249" t="str">
            <v>3513206010650001</v>
          </cell>
          <cell r="H249" t="str">
            <v>000000000000000</v>
          </cell>
          <cell r="J249">
            <v>86415999.999687999</v>
          </cell>
          <cell r="K249">
            <v>0</v>
          </cell>
          <cell r="L249">
            <v>86415999.999687999</v>
          </cell>
        </row>
        <row r="250">
          <cell r="B250" t="str">
            <v>DELI10AC</v>
          </cell>
          <cell r="C250" t="str">
            <v>Delima, Toko/Nurhasan</v>
          </cell>
          <cell r="D250" t="str">
            <v>Sudi Mastor</v>
          </cell>
          <cell r="E250" t="str">
            <v>Dsn. Sumbermuning, RT.009/002, Kel. Tegalsiwalan, Kec. Tegalsiwalan</v>
          </cell>
          <cell r="F250" t="str">
            <v>Probolinggo</v>
          </cell>
          <cell r="G250" t="str">
            <v>3513201011560001</v>
          </cell>
          <cell r="H250" t="str">
            <v>000000000000000</v>
          </cell>
          <cell r="J250">
            <v>87711999.999590605</v>
          </cell>
          <cell r="K250">
            <v>0</v>
          </cell>
          <cell r="L250">
            <v>87711999.999590605</v>
          </cell>
        </row>
        <row r="251">
          <cell r="B251" t="str">
            <v>DELI11AC</v>
          </cell>
          <cell r="C251" t="str">
            <v>Delima, Toko/Nurhasan</v>
          </cell>
          <cell r="D251" t="str">
            <v>Robiatul Adawiyah</v>
          </cell>
          <cell r="E251" t="str">
            <v>Dsn. Kabuaran, RT.024/RW.007, Kel. Kotaanyar, Kec. Kotaanyar</v>
          </cell>
          <cell r="F251" t="str">
            <v>Probolinggo</v>
          </cell>
          <cell r="G251" t="str">
            <v>3513114607970004</v>
          </cell>
          <cell r="H251" t="str">
            <v>000000000000000</v>
          </cell>
          <cell r="J251">
            <v>79287999.999909624</v>
          </cell>
          <cell r="K251">
            <v>0</v>
          </cell>
          <cell r="L251">
            <v>79287999.999909624</v>
          </cell>
        </row>
        <row r="252">
          <cell r="B252" t="str">
            <v>DELI12AC</v>
          </cell>
          <cell r="C252" t="str">
            <v>Delima, Toko/Nurhasan</v>
          </cell>
          <cell r="D252" t="str">
            <v>Umi Kulsum</v>
          </cell>
          <cell r="E252" t="str">
            <v xml:space="preserve">Dsn. Ibrak, RT.003/RW.005, Kel. Karangpranti, Kec. Pajarakan </v>
          </cell>
          <cell r="F252" t="str">
            <v>Probolinggo</v>
          </cell>
          <cell r="G252" t="str">
            <v>3513166104790002</v>
          </cell>
          <cell r="H252" t="str">
            <v>000000000000000</v>
          </cell>
          <cell r="J252">
            <v>47903999.999924406</v>
          </cell>
          <cell r="K252">
            <v>0</v>
          </cell>
          <cell r="L252">
            <v>47903999.999924406</v>
          </cell>
        </row>
        <row r="253">
          <cell r="B253" t="str">
            <v>DELI13AC</v>
          </cell>
          <cell r="C253" t="str">
            <v>Delima, Toko/Nurhasan</v>
          </cell>
          <cell r="D253" t="str">
            <v>Sunan</v>
          </cell>
          <cell r="E253" t="str">
            <v>Jl. Slamet Riyadi, RT.005/RW.008, Kel. Kanigaran, Kec. Kanigaran</v>
          </cell>
          <cell r="F253" t="str">
            <v>Probolinggo</v>
          </cell>
          <cell r="G253" t="str">
            <v>3574042102790006</v>
          </cell>
          <cell r="H253" t="str">
            <v>000000000000000</v>
          </cell>
          <cell r="J253">
            <v>38510399.999924406</v>
          </cell>
          <cell r="K253">
            <v>0</v>
          </cell>
          <cell r="L253">
            <v>38510399.999924406</v>
          </cell>
        </row>
        <row r="254">
          <cell r="B254" t="str">
            <v>DELI14AC</v>
          </cell>
          <cell r="C254" t="str">
            <v>Delima, Toko/Nurhasan</v>
          </cell>
          <cell r="D254" t="str">
            <v>Ahon</v>
          </cell>
          <cell r="E254" t="str">
            <v>Dusun Nangka, RT.007/RW.004, Kel. Besuk, Kec. Bantaran</v>
          </cell>
          <cell r="F254" t="str">
            <v>Probolinggo</v>
          </cell>
          <cell r="G254" t="str">
            <v>3513040107670343</v>
          </cell>
          <cell r="H254" t="str">
            <v>000000000000000</v>
          </cell>
          <cell r="J254">
            <v>48800000</v>
          </cell>
          <cell r="K254">
            <v>0</v>
          </cell>
          <cell r="L254">
            <v>48800000</v>
          </cell>
        </row>
        <row r="255">
          <cell r="B255" t="str">
            <v>DELI15AC</v>
          </cell>
          <cell r="C255" t="str">
            <v>Delima, Toko/Nurhasan</v>
          </cell>
          <cell r="D255" t="str">
            <v>Moh. Arkan Imantoko</v>
          </cell>
          <cell r="E255" t="str">
            <v>Dusun Triwung, Rt.007/Rw.002, Kel. Warujinggo, Kec. Leces</v>
          </cell>
          <cell r="F255" t="str">
            <v>Probolinggo</v>
          </cell>
          <cell r="G255" t="str">
            <v>3513050911670003</v>
          </cell>
          <cell r="H255" t="str">
            <v>000000000000000</v>
          </cell>
          <cell r="J255">
            <v>18720000</v>
          </cell>
          <cell r="K255">
            <v>0</v>
          </cell>
          <cell r="L255">
            <v>18720000</v>
          </cell>
        </row>
        <row r="256">
          <cell r="B256" t="str">
            <v>DELI16AC</v>
          </cell>
          <cell r="C256" t="str">
            <v>Delima, Toko/Nurhasan</v>
          </cell>
          <cell r="D256" t="str">
            <v>M. Hosen</v>
          </cell>
          <cell r="E256" t="str">
            <v>Dusun Togur I, RT.013/RW.007, Kel. Bulang, Kec. Gending</v>
          </cell>
          <cell r="F256" t="str">
            <v>Probolinggo</v>
          </cell>
          <cell r="G256" t="str">
            <v>3513182011680003</v>
          </cell>
          <cell r="H256" t="str">
            <v>000000000000000</v>
          </cell>
          <cell r="J256">
            <v>42480000</v>
          </cell>
          <cell r="K256">
            <v>0</v>
          </cell>
          <cell r="L256">
            <v>42480000</v>
          </cell>
        </row>
        <row r="257">
          <cell r="B257" t="str">
            <v>DELI17AC</v>
          </cell>
          <cell r="C257" t="str">
            <v>Delima, Toko/Nurhasan</v>
          </cell>
          <cell r="D257" t="str">
            <v>Malik</v>
          </cell>
          <cell r="E257" t="str">
            <v>Dusun Kramat, RT.009/Rw.004, Kel. Sedarum, Kec. Nguling</v>
          </cell>
          <cell r="F257" t="str">
            <v>Probolinggo</v>
          </cell>
          <cell r="G257" t="str">
            <v>3514214705850008</v>
          </cell>
          <cell r="H257" t="str">
            <v>000000000000000</v>
          </cell>
          <cell r="J257">
            <v>11080000</v>
          </cell>
          <cell r="K257">
            <v>0</v>
          </cell>
          <cell r="L257">
            <v>11080000</v>
          </cell>
        </row>
        <row r="258">
          <cell r="B258" t="str">
            <v>DELI18AC</v>
          </cell>
          <cell r="C258" t="str">
            <v>Delima, Toko/Nurhasan</v>
          </cell>
          <cell r="D258" t="str">
            <v>Sagi</v>
          </cell>
          <cell r="E258" t="str">
            <v>Jl. Yos Sudarso GG. Pertiwi No.11, RT.004/RW.004, Kel. Pabean, Kec. Dringu</v>
          </cell>
          <cell r="F258" t="str">
            <v>Probolinggo</v>
          </cell>
          <cell r="G258" t="str">
            <v>3513190903620001</v>
          </cell>
          <cell r="H258" t="str">
            <v>000000000000000</v>
          </cell>
          <cell r="J258">
            <v>15440000</v>
          </cell>
          <cell r="K258">
            <v>0</v>
          </cell>
          <cell r="L258">
            <v>15440000</v>
          </cell>
        </row>
        <row r="259">
          <cell r="B259" t="str">
            <v>DELI19AC</v>
          </cell>
          <cell r="C259" t="str">
            <v>Delima, Toko/Nurhasan</v>
          </cell>
          <cell r="D259" t="str">
            <v>Ainul Yakin</v>
          </cell>
          <cell r="E259" t="str">
            <v>Dusun Krajan, RT.005/RW.002, Kel. Triwung Kidul, Kec. Kademangan</v>
          </cell>
          <cell r="F259" t="str">
            <v>Probolinggo</v>
          </cell>
          <cell r="G259" t="str">
            <v>3574012812950001</v>
          </cell>
          <cell r="H259" t="str">
            <v>000000000000000</v>
          </cell>
          <cell r="J259">
            <v>19456000</v>
          </cell>
          <cell r="K259">
            <v>0</v>
          </cell>
          <cell r="L259">
            <v>19456000</v>
          </cell>
        </row>
        <row r="260">
          <cell r="B260" t="str">
            <v>DELI20AC</v>
          </cell>
          <cell r="C260" t="str">
            <v>Delima, Toko/Nurhasan</v>
          </cell>
          <cell r="D260" t="str">
            <v>Indra Harianto</v>
          </cell>
          <cell r="E260" t="str">
            <v>Dusun Mranggon, RT.013/RW.003, Kel. Mranggonlawang, Kec. Dringu</v>
          </cell>
          <cell r="F260" t="str">
            <v>Probolinggo</v>
          </cell>
          <cell r="G260" t="str">
            <v>3513190212880001</v>
          </cell>
          <cell r="H260" t="str">
            <v>000000000000000</v>
          </cell>
          <cell r="J260">
            <v>16598400</v>
          </cell>
          <cell r="K260">
            <v>0</v>
          </cell>
          <cell r="L260">
            <v>16598400</v>
          </cell>
        </row>
        <row r="261">
          <cell r="B261" t="str">
            <v>DELI21AC</v>
          </cell>
          <cell r="C261" t="str">
            <v>Delima, Toko/Nurhasan</v>
          </cell>
          <cell r="D261" t="str">
            <v>Bambang Suyanto</v>
          </cell>
          <cell r="E261" t="str">
            <v>Dusun Karanganyar, RT.005/RW.001, Kel. Curahsawo, Kec. Gending</v>
          </cell>
          <cell r="F261" t="str">
            <v>Probolinggo</v>
          </cell>
          <cell r="G261" t="str">
            <v>3513182111820001</v>
          </cell>
          <cell r="H261" t="str">
            <v>000000000000000</v>
          </cell>
          <cell r="J261">
            <v>16507200</v>
          </cell>
          <cell r="K261">
            <v>0</v>
          </cell>
          <cell r="L261">
            <v>16507200</v>
          </cell>
        </row>
        <row r="262">
          <cell r="B262" t="str">
            <v>DELI22AC</v>
          </cell>
          <cell r="C262" t="str">
            <v>Delima, Toko/Nurhasan</v>
          </cell>
          <cell r="D262" t="str">
            <v>Asmat Junaedi</v>
          </cell>
          <cell r="E262" t="str">
            <v>Dusun Pandean, RT.005/RW.005, Kel. Pabean, Kec. Dringu</v>
          </cell>
          <cell r="F262" t="str">
            <v>Probolinggo</v>
          </cell>
          <cell r="G262" t="str">
            <v>3513190107770081</v>
          </cell>
          <cell r="H262" t="str">
            <v>000000000000000</v>
          </cell>
          <cell r="J262">
            <v>16598400</v>
          </cell>
          <cell r="K262">
            <v>0</v>
          </cell>
          <cell r="L262">
            <v>16598400</v>
          </cell>
        </row>
        <row r="263">
          <cell r="B263" t="str">
            <v>DELI24AC</v>
          </cell>
          <cell r="C263" t="str">
            <v>Delima, Toko/Nurhasan</v>
          </cell>
          <cell r="D263" t="str">
            <v>Mohammad Dolili</v>
          </cell>
          <cell r="E263" t="str">
            <v>Dusun Dulawang, RT.009/RW.004, Kel. Bulujaranlor, Kec. Tegalsiwalan</v>
          </cell>
          <cell r="F263" t="str">
            <v>Probolinggo</v>
          </cell>
          <cell r="G263" t="str">
            <v>3513201805860001</v>
          </cell>
          <cell r="H263" t="str">
            <v>000000000000000</v>
          </cell>
          <cell r="J263">
            <v>16507200</v>
          </cell>
          <cell r="K263">
            <v>0</v>
          </cell>
          <cell r="L263">
            <v>16507200</v>
          </cell>
        </row>
        <row r="264">
          <cell r="B264" t="str">
            <v>ISNA01AC</v>
          </cell>
          <cell r="C264" t="str">
            <v>Deni Isnawan</v>
          </cell>
          <cell r="D264" t="str">
            <v>Ardiyan Afandi</v>
          </cell>
          <cell r="E264" t="str">
            <v>Asembagus, RT.003/RW.001, Kel. Purwoagung, Kec. Tegaldlimo</v>
          </cell>
          <cell r="F264" t="str">
            <v>Banyuwangi</v>
          </cell>
          <cell r="G264" t="str">
            <v>3510042705950001</v>
          </cell>
          <cell r="H264" t="str">
            <v>000000000000000</v>
          </cell>
          <cell r="J264">
            <v>0</v>
          </cell>
          <cell r="K264">
            <v>0</v>
          </cell>
          <cell r="L264">
            <v>0</v>
          </cell>
        </row>
        <row r="265">
          <cell r="B265" t="str">
            <v>DENI01AC</v>
          </cell>
          <cell r="C265" t="str">
            <v>Deni/Bisi</v>
          </cell>
          <cell r="D265" t="str">
            <v>Ilham Filayati R</v>
          </cell>
          <cell r="E265" t="str">
            <v>Dsn. Bayat Rejo, RT.045/RW.009, Kel. Wringinpitu, Kec. Tegaldlimo</v>
          </cell>
          <cell r="F265" t="str">
            <v>Banyuwangi</v>
          </cell>
          <cell r="G265" t="str">
            <v>3510043005960002</v>
          </cell>
          <cell r="H265" t="str">
            <v>000000000000000</v>
          </cell>
          <cell r="J265">
            <v>0</v>
          </cell>
          <cell r="K265">
            <v>0</v>
          </cell>
          <cell r="L265">
            <v>0</v>
          </cell>
        </row>
        <row r="266">
          <cell r="B266" t="str">
            <v>DENI02AC</v>
          </cell>
          <cell r="C266" t="str">
            <v>Deni/Bisi</v>
          </cell>
          <cell r="D266" t="str">
            <v>Yudi Hariyanto</v>
          </cell>
          <cell r="E266" t="str">
            <v>Dsn. Krajan, RT.001/RW.005, Kel. Andongsari, Kec. Ambulu</v>
          </cell>
          <cell r="F266" t="str">
            <v>Jember</v>
          </cell>
          <cell r="G266" t="str">
            <v>3509123101850004</v>
          </cell>
          <cell r="H266" t="str">
            <v>000000000000000</v>
          </cell>
          <cell r="J266">
            <v>0</v>
          </cell>
          <cell r="K266">
            <v>0</v>
          </cell>
          <cell r="L266">
            <v>0</v>
          </cell>
        </row>
        <row r="267">
          <cell r="B267" t="str">
            <v>DENI03AC</v>
          </cell>
          <cell r="C267" t="str">
            <v>Deni/Bisi</v>
          </cell>
          <cell r="D267" t="str">
            <v>Sudiyono</v>
          </cell>
          <cell r="E267" t="str">
            <v>Dsn. Pasar, RT.005/RW.002, Kel. Sumberarum, Kec. Songgon</v>
          </cell>
          <cell r="F267" t="str">
            <v>Banyuwangi</v>
          </cell>
          <cell r="G267" t="str">
            <v>3510191507730001</v>
          </cell>
          <cell r="H267" t="str">
            <v>000000000000000</v>
          </cell>
          <cell r="J267">
            <v>0</v>
          </cell>
          <cell r="K267">
            <v>0</v>
          </cell>
          <cell r="L267">
            <v>0</v>
          </cell>
        </row>
        <row r="268">
          <cell r="B268" t="str">
            <v>DENI04AC</v>
          </cell>
          <cell r="C268" t="str">
            <v>Deni/Bisi</v>
          </cell>
          <cell r="D268" t="str">
            <v>Hariyanto</v>
          </cell>
          <cell r="E268" t="str">
            <v>Dusun Tembelang, RT.002/RW.001, Kel. Bareng, Kec. Kabat</v>
          </cell>
          <cell r="F268" t="str">
            <v>Banyuwangi</v>
          </cell>
          <cell r="G268" t="str">
            <v>3510140101860008</v>
          </cell>
          <cell r="H268" t="str">
            <v>000000000000000</v>
          </cell>
          <cell r="J268">
            <v>0</v>
          </cell>
          <cell r="K268">
            <v>0</v>
          </cell>
          <cell r="L268">
            <v>0</v>
          </cell>
        </row>
        <row r="269">
          <cell r="B269" t="str">
            <v>DENI05AC</v>
          </cell>
          <cell r="C269" t="str">
            <v>Deni/Bisi</v>
          </cell>
          <cell r="D269" t="str">
            <v>Danang Alfian Nanda</v>
          </cell>
          <cell r="E269" t="str">
            <v>Dusun Krajan, RT.002/RW.010, Kel. Tamanagung, Kec. Cluring</v>
          </cell>
          <cell r="F269" t="str">
            <v>Banyuwangi</v>
          </cell>
          <cell r="G269" t="str">
            <v>3510061311960004</v>
          </cell>
          <cell r="H269" t="str">
            <v>000000000000000</v>
          </cell>
          <cell r="J269">
            <v>0</v>
          </cell>
          <cell r="K269">
            <v>0</v>
          </cell>
          <cell r="L269">
            <v>0</v>
          </cell>
        </row>
        <row r="270">
          <cell r="B270" t="str">
            <v>DENI06AC</v>
          </cell>
          <cell r="C270" t="str">
            <v>Deni/Bisi</v>
          </cell>
          <cell r="D270" t="str">
            <v>Ahmad Mualif</v>
          </cell>
          <cell r="E270" t="str">
            <v>Dusun Kraton, RT.003/RW.003, Kel. Wonoasri Kec. Tempurejo</v>
          </cell>
          <cell r="F270" t="str">
            <v>Jember</v>
          </cell>
          <cell r="G270" t="str">
            <v>3509181001940004</v>
          </cell>
          <cell r="H270" t="str">
            <v>000000000000000</v>
          </cell>
          <cell r="J270">
            <v>0</v>
          </cell>
          <cell r="K270">
            <v>0</v>
          </cell>
          <cell r="L270">
            <v>0</v>
          </cell>
        </row>
        <row r="271">
          <cell r="B271" t="str">
            <v>DENI07AC</v>
          </cell>
          <cell r="C271" t="str">
            <v>Deni/Bisi</v>
          </cell>
          <cell r="D271" t="str">
            <v>Achmad Gozali</v>
          </cell>
          <cell r="E271" t="str">
            <v>Dusun Gumuksari, RT.004/RW.001, Kel. Nogosari, Kec. Rambipuji</v>
          </cell>
          <cell r="F271" t="str">
            <v>Jember</v>
          </cell>
          <cell r="G271" t="str">
            <v>3509132709850002</v>
          </cell>
          <cell r="H271" t="str">
            <v>000000000000000</v>
          </cell>
          <cell r="J271">
            <v>0</v>
          </cell>
          <cell r="K271">
            <v>0</v>
          </cell>
          <cell r="L271">
            <v>0</v>
          </cell>
        </row>
        <row r="272">
          <cell r="B272" t="str">
            <v>DENI08AC</v>
          </cell>
          <cell r="C272" t="str">
            <v>Deni/Bisi</v>
          </cell>
          <cell r="D272" t="str">
            <v>Ahmad Fausi</v>
          </cell>
          <cell r="E272" t="str">
            <v>Dusun Bago, RT.009/RW.007, Kel. Nogosari, Kec. Rambipuji</v>
          </cell>
          <cell r="F272" t="str">
            <v>Jember</v>
          </cell>
          <cell r="G272" t="str">
            <v>3509130107790262</v>
          </cell>
          <cell r="H272" t="str">
            <v>000000000000000</v>
          </cell>
          <cell r="J272">
            <v>0</v>
          </cell>
          <cell r="K272">
            <v>0</v>
          </cell>
          <cell r="L272">
            <v>0</v>
          </cell>
        </row>
        <row r="273">
          <cell r="B273" t="str">
            <v>DENI09AC</v>
          </cell>
          <cell r="C273" t="str">
            <v>Deni/Bisi</v>
          </cell>
          <cell r="D273" t="str">
            <v>Daryanto</v>
          </cell>
          <cell r="E273" t="str">
            <v>Dusun Krajan III, RT.003/RW.012, Kel. Keting, Kec. Jombang</v>
          </cell>
          <cell r="F273" t="str">
            <v>Jember</v>
          </cell>
          <cell r="G273" t="str">
            <v>3509010404770005</v>
          </cell>
          <cell r="H273" t="str">
            <v>000000000000000</v>
          </cell>
          <cell r="J273">
            <v>0</v>
          </cell>
          <cell r="K273">
            <v>0</v>
          </cell>
          <cell r="L273">
            <v>0</v>
          </cell>
        </row>
        <row r="274">
          <cell r="B274" t="str">
            <v>DENI10AC</v>
          </cell>
          <cell r="C274" t="str">
            <v>Deni/Bisi</v>
          </cell>
          <cell r="D274" t="str">
            <v>Sujianto</v>
          </cell>
          <cell r="E274" t="str">
            <v>Dusun Grobyog, RT.003/RW.007, Kel. Tanjung Rejo, Kec. Wuluhan</v>
          </cell>
          <cell r="F274" t="str">
            <v>Jember</v>
          </cell>
          <cell r="G274" t="str">
            <v>3509110202790001</v>
          </cell>
          <cell r="H274" t="str">
            <v>000000000000000</v>
          </cell>
          <cell r="J274">
            <v>0</v>
          </cell>
          <cell r="K274">
            <v>0</v>
          </cell>
          <cell r="L274">
            <v>0</v>
          </cell>
        </row>
        <row r="275">
          <cell r="B275" t="str">
            <v>DENI11AC</v>
          </cell>
          <cell r="C275" t="str">
            <v>Deni/Bisi</v>
          </cell>
          <cell r="D275" t="str">
            <v>Moh. Thowaf</v>
          </cell>
          <cell r="E275" t="str">
            <v>Kp. Klowangan, RT.001/RW.001, Kel. Mlandingan Wetan, Kec. Bungatan</v>
          </cell>
          <cell r="F275" t="str">
            <v>Jember</v>
          </cell>
          <cell r="G275" t="str">
            <v>3512170905840001</v>
          </cell>
          <cell r="H275" t="str">
            <v>000000000000000</v>
          </cell>
          <cell r="J275">
            <v>0</v>
          </cell>
          <cell r="K275">
            <v>0</v>
          </cell>
          <cell r="L275">
            <v>0</v>
          </cell>
        </row>
        <row r="276">
          <cell r="B276" t="str">
            <v>DENI12AC</v>
          </cell>
          <cell r="C276" t="str">
            <v>Deni/Bisi</v>
          </cell>
          <cell r="D276" t="str">
            <v>Suhernik</v>
          </cell>
          <cell r="E276" t="str">
            <v>Dusun Darungan, RT.041/RW.013, Kel. Selokgondang, Kec. Sukodono</v>
          </cell>
          <cell r="F276" t="str">
            <v>Lumajang</v>
          </cell>
          <cell r="G276" t="str">
            <v>3508154204800003</v>
          </cell>
          <cell r="H276" t="str">
            <v>000000000000000</v>
          </cell>
          <cell r="J276">
            <v>0</v>
          </cell>
          <cell r="K276">
            <v>0</v>
          </cell>
          <cell r="L276">
            <v>0</v>
          </cell>
        </row>
        <row r="277">
          <cell r="B277" t="str">
            <v>DENI13AC</v>
          </cell>
          <cell r="C277" t="str">
            <v>Deni/Bisi</v>
          </cell>
          <cell r="D277" t="str">
            <v>M. Husen</v>
          </cell>
          <cell r="E277" t="str">
            <v>Dusun Kedung Sumur, RT.002/RW.012, Kel. Jambearum, Kec. Puger</v>
          </cell>
          <cell r="F277" t="str">
            <v>Jember</v>
          </cell>
          <cell r="G277" t="str">
            <v>3509081301830003</v>
          </cell>
          <cell r="H277" t="str">
            <v>000000000000000</v>
          </cell>
          <cell r="J277">
            <v>0</v>
          </cell>
          <cell r="K277">
            <v>0</v>
          </cell>
          <cell r="L277">
            <v>0</v>
          </cell>
        </row>
        <row r="278">
          <cell r="B278" t="str">
            <v>DENI14AC</v>
          </cell>
          <cell r="C278" t="str">
            <v>Deni/Bisi</v>
          </cell>
          <cell r="D278" t="str">
            <v>Fathor Rozi</v>
          </cell>
          <cell r="E278" t="str">
            <v>Dusun Karang Semanding, RT.001/RW.004, Kel. Sukorejo, Kec. Bangsalsari</v>
          </cell>
          <cell r="F278" t="str">
            <v>Jember</v>
          </cell>
          <cell r="G278" t="str">
            <v>3509091011780008</v>
          </cell>
          <cell r="H278" t="str">
            <v>000000000000000</v>
          </cell>
          <cell r="J278">
            <v>0</v>
          </cell>
          <cell r="K278">
            <v>0</v>
          </cell>
          <cell r="L278">
            <v>0</v>
          </cell>
        </row>
        <row r="279">
          <cell r="B279" t="str">
            <v>EKAJ01AC</v>
          </cell>
          <cell r="C279" t="str">
            <v>Eka Jaya/David</v>
          </cell>
          <cell r="D279" t="str">
            <v>Uswatun Khasanah</v>
          </cell>
          <cell r="E279" t="str">
            <v>Dusun Tugung, RT.003/RW.003, Kel. Sempu, Kec. Sempu</v>
          </cell>
          <cell r="F279" t="str">
            <v>Banyuwangi</v>
          </cell>
          <cell r="G279" t="str">
            <v>3510206412890002</v>
          </cell>
          <cell r="H279" t="str">
            <v>000000000000000</v>
          </cell>
          <cell r="I279" t="str">
            <v>jika ada Nota T pajaknya  pakai CV. Agro Tani Mapan</v>
          </cell>
          <cell r="J279">
            <v>0</v>
          </cell>
          <cell r="K279">
            <v>0</v>
          </cell>
          <cell r="L279">
            <v>0</v>
          </cell>
        </row>
        <row r="280">
          <cell r="B280" t="str">
            <v>EKAJ02AC</v>
          </cell>
          <cell r="C280" t="str">
            <v>Eka Jaya/David</v>
          </cell>
          <cell r="D280" t="str">
            <v>Sugimah</v>
          </cell>
          <cell r="E280" t="str">
            <v>Dusun  Krajan, RT.002/RW.003, Kel. Sumberkencono, Kec. Wongsorejo</v>
          </cell>
          <cell r="F280" t="str">
            <v>Banyuwangi</v>
          </cell>
          <cell r="G280" t="str">
            <v>3510185212680007</v>
          </cell>
          <cell r="H280" t="str">
            <v>000000000000000</v>
          </cell>
          <cell r="J280">
            <v>0</v>
          </cell>
          <cell r="K280">
            <v>0</v>
          </cell>
          <cell r="L280">
            <v>0</v>
          </cell>
        </row>
        <row r="281">
          <cell r="B281" t="str">
            <v>EKAJ03AC</v>
          </cell>
          <cell r="C281" t="str">
            <v>Eka Jaya/David</v>
          </cell>
          <cell r="D281" t="str">
            <v>Suryono</v>
          </cell>
          <cell r="E281" t="str">
            <v>Damtelu, RT.017/RW.002, Kel. Kedunggebang, Kec. Tegaldlimo</v>
          </cell>
          <cell r="F281" t="str">
            <v>Banyuwangi</v>
          </cell>
          <cell r="G281" t="str">
            <v>3510040306700009</v>
          </cell>
          <cell r="H281" t="str">
            <v>000000000000000</v>
          </cell>
          <cell r="J281">
            <v>0</v>
          </cell>
          <cell r="K281">
            <v>0</v>
          </cell>
          <cell r="L281">
            <v>0</v>
          </cell>
        </row>
        <row r="282">
          <cell r="B282" t="str">
            <v>ENGG01AC</v>
          </cell>
          <cell r="C282" t="str">
            <v>Damar Batur Nusantara</v>
          </cell>
          <cell r="D282" t="str">
            <v>Jundatul Masfufah</v>
          </cell>
          <cell r="E282" t="str">
            <v>Dusun Krajan I, RT.001/RW.024, Kel. Kasiyan Timur, Kec. Puger</v>
          </cell>
          <cell r="F282" t="str">
            <v>Jember</v>
          </cell>
          <cell r="G282" t="str">
            <v>3509086807000001</v>
          </cell>
          <cell r="H282" t="str">
            <v>000000000000000</v>
          </cell>
          <cell r="I282" t="str">
            <v>Per 22 April 2025 ganti Damar Batur Nusantara awalnya Enggal Unggul</v>
          </cell>
          <cell r="J282">
            <v>129012799.99968526</v>
          </cell>
          <cell r="K282">
            <v>0</v>
          </cell>
          <cell r="L282">
            <v>129012799.99968526</v>
          </cell>
        </row>
        <row r="283">
          <cell r="B283" t="str">
            <v>ENGG02AC</v>
          </cell>
          <cell r="C283" t="str">
            <v>Damar Batur Nusantara</v>
          </cell>
          <cell r="D283" t="str">
            <v>Satria Bagus Saputra</v>
          </cell>
          <cell r="E283" t="str">
            <v>Dusun Purwosari, RT.001/RW.007, Kel. Tanjungsari, Kec. Umbulsari</v>
          </cell>
          <cell r="F283" t="str">
            <v>Jember</v>
          </cell>
          <cell r="G283" t="str">
            <v>3509051805040003</v>
          </cell>
          <cell r="H283" t="str">
            <v>000000000000000</v>
          </cell>
          <cell r="J283">
            <v>143917999.99970198</v>
          </cell>
          <cell r="K283">
            <v>0</v>
          </cell>
          <cell r="L283">
            <v>143917999.99970198</v>
          </cell>
        </row>
        <row r="284">
          <cell r="B284" t="str">
            <v>ENGG03AC</v>
          </cell>
          <cell r="C284" t="str">
            <v>Damar Batur Nusantara</v>
          </cell>
          <cell r="D284" t="str">
            <v>Dani Hermansyah</v>
          </cell>
          <cell r="E284" t="str">
            <v>Dusun Krangkongan, RT.003/RW.014, Kel. Tegalwangi, Kec. Umbulsari</v>
          </cell>
          <cell r="F284" t="str">
            <v>Jember</v>
          </cell>
          <cell r="G284" t="str">
            <v>3509051202020004</v>
          </cell>
          <cell r="H284" t="str">
            <v>000000000000000</v>
          </cell>
          <cell r="J284">
            <v>178191199.99972522</v>
          </cell>
          <cell r="K284">
            <v>16750000</v>
          </cell>
          <cell r="L284">
            <v>194941199.99972522</v>
          </cell>
        </row>
        <row r="285">
          <cell r="B285" t="str">
            <v>ENGG04AC</v>
          </cell>
          <cell r="C285" t="str">
            <v>Damar Batur Nusantara</v>
          </cell>
          <cell r="D285" t="str">
            <v>Novia Lailatul Fitri</v>
          </cell>
          <cell r="E285" t="str">
            <v>Dusun Purwosari, RT.002/RW.007, Kel. Tanjungsari, Kec. Umbulsari</v>
          </cell>
          <cell r="F285" t="str">
            <v>Jember</v>
          </cell>
          <cell r="G285" t="str">
            <v>3509055411040003</v>
          </cell>
          <cell r="H285" t="str">
            <v>000000000000000</v>
          </cell>
          <cell r="J285">
            <v>136141999.99977702</v>
          </cell>
          <cell r="K285">
            <v>16750000</v>
          </cell>
          <cell r="L285">
            <v>152891999.99977702</v>
          </cell>
        </row>
        <row r="286">
          <cell r="B286" t="str">
            <v>ENGG05AC</v>
          </cell>
          <cell r="C286" t="str">
            <v>Damar Batur Nusantara</v>
          </cell>
          <cell r="D286" t="str">
            <v>Lutfi Kamal</v>
          </cell>
          <cell r="E286" t="str">
            <v>Dusun Jatilawang, RT.002/RW.004, Kel. Tegal Wangi, Kec. Umbulsari</v>
          </cell>
          <cell r="F286" t="str">
            <v>Jember</v>
          </cell>
          <cell r="G286" t="str">
            <v>3509052401020004</v>
          </cell>
          <cell r="H286" t="str">
            <v>000000000000000</v>
          </cell>
          <cell r="J286">
            <v>101197919.99960472</v>
          </cell>
          <cell r="K286">
            <v>16750000</v>
          </cell>
          <cell r="L286">
            <v>117947919.99960472</v>
          </cell>
        </row>
        <row r="287">
          <cell r="B287" t="str">
            <v>ENGG06AC</v>
          </cell>
          <cell r="C287" t="str">
            <v>Damar Batur Nusantara</v>
          </cell>
          <cell r="D287" t="str">
            <v>Rifqi Budiman Lopa</v>
          </cell>
          <cell r="E287" t="str">
            <v>Dusun Semboro Lor, RT.001/RW.025, Kel. Semboro, Kec. Semboro</v>
          </cell>
          <cell r="F287" t="str">
            <v>Jember</v>
          </cell>
          <cell r="G287" t="str">
            <v>3509070602970002</v>
          </cell>
          <cell r="H287" t="str">
            <v>000000000000000</v>
          </cell>
          <cell r="J287">
            <v>131238719.99945784</v>
          </cell>
          <cell r="K287">
            <v>16750000</v>
          </cell>
          <cell r="L287">
            <v>147988719.99945784</v>
          </cell>
        </row>
        <row r="288">
          <cell r="B288" t="str">
            <v>ENGG07AC</v>
          </cell>
          <cell r="C288" t="str">
            <v>Damar Batur Nusantara</v>
          </cell>
          <cell r="D288" t="str">
            <v>Muhamad Hafid Rizki Irawan</v>
          </cell>
          <cell r="E288" t="str">
            <v>Dusun Purwosari, RT.001/RW.002, Kel. Tanjungsari, Kec. Umbulsari</v>
          </cell>
          <cell r="F288" t="str">
            <v>Jember</v>
          </cell>
          <cell r="G288" t="str">
            <v>3509052406020004</v>
          </cell>
          <cell r="H288" t="str">
            <v>000000000000000</v>
          </cell>
          <cell r="J288">
            <v>143855359.9998008</v>
          </cell>
          <cell r="K288">
            <v>16750000</v>
          </cell>
          <cell r="L288">
            <v>160605359.9998008</v>
          </cell>
        </row>
        <row r="289">
          <cell r="B289" t="str">
            <v>ENGG08AC</v>
          </cell>
          <cell r="C289" t="str">
            <v>Damar Batur Nusantara</v>
          </cell>
          <cell r="D289" t="str">
            <v>Kholiffatunni'mah</v>
          </cell>
          <cell r="E289" t="str">
            <v>Dusun Babatan, RT.003/RW.018, Kel. Sidomekar, Kec. Semboro</v>
          </cell>
          <cell r="F289" t="str">
            <v>Jember</v>
          </cell>
          <cell r="G289" t="str">
            <v>3509074504000002</v>
          </cell>
          <cell r="H289" t="str">
            <v>000000000000000</v>
          </cell>
          <cell r="J289">
            <v>149250559.99977401</v>
          </cell>
          <cell r="K289">
            <v>16750000</v>
          </cell>
          <cell r="L289">
            <v>166000559.99977401</v>
          </cell>
        </row>
        <row r="290">
          <cell r="B290" t="str">
            <v>ENGG09AC</v>
          </cell>
          <cell r="C290" t="str">
            <v>Damar Batur Nusantara</v>
          </cell>
          <cell r="D290" t="str">
            <v>Fahmi Ali Nadif</v>
          </cell>
          <cell r="E290" t="str">
            <v>Dusun Babatan, RT.003/RW.015, Kel. Sidomekar, Kec. Semboro</v>
          </cell>
          <cell r="F290" t="str">
            <v>Jember</v>
          </cell>
          <cell r="G290" t="str">
            <v>3509070107010068</v>
          </cell>
          <cell r="H290" t="str">
            <v>000000000000000</v>
          </cell>
          <cell r="J290">
            <v>132407999.999991</v>
          </cell>
          <cell r="K290">
            <v>16750000</v>
          </cell>
          <cell r="L290">
            <v>149157999.999991</v>
          </cell>
        </row>
        <row r="291">
          <cell r="B291" t="str">
            <v>ENGG10AC</v>
          </cell>
          <cell r="C291" t="str">
            <v>Damar Batur Nusantara</v>
          </cell>
          <cell r="D291" t="str">
            <v>Nurhalimah</v>
          </cell>
          <cell r="E291" t="str">
            <v>Dusun Krajan I, RT.001/RW.021, Kel. Kasiyan Timur, Kec. Puger</v>
          </cell>
          <cell r="F291" t="str">
            <v>Jember</v>
          </cell>
          <cell r="G291" t="str">
            <v>3509086804840002</v>
          </cell>
          <cell r="H291" t="str">
            <v>000000000000000</v>
          </cell>
          <cell r="J291">
            <v>102023599.99996659</v>
          </cell>
          <cell r="K291">
            <v>16750000</v>
          </cell>
          <cell r="L291">
            <v>118773599.99996659</v>
          </cell>
        </row>
        <row r="292">
          <cell r="B292" t="str">
            <v>ENGG11AC</v>
          </cell>
          <cell r="C292" t="str">
            <v>Damar Batur Nusantara</v>
          </cell>
          <cell r="D292" t="str">
            <v>M Fauzi</v>
          </cell>
          <cell r="E292" t="str">
            <v>Dusun Kebonsari, RT.003/RW.001, Kel. Tanjungsari, Kec. Umbulsari</v>
          </cell>
          <cell r="F292" t="str">
            <v>Jember</v>
          </cell>
          <cell r="G292" t="str">
            <v>3509050211010002</v>
          </cell>
          <cell r="H292" t="str">
            <v>000000000000000</v>
          </cell>
          <cell r="J292">
            <v>79341999.999515593</v>
          </cell>
          <cell r="K292">
            <v>18500000</v>
          </cell>
          <cell r="L292">
            <v>97841999.999515593</v>
          </cell>
        </row>
        <row r="293">
          <cell r="B293" t="str">
            <v>ENGG12AC</v>
          </cell>
          <cell r="C293" t="str">
            <v>Damar Batur Nusantara</v>
          </cell>
          <cell r="D293" t="str">
            <v>Moh. Lukmannul Hakim</v>
          </cell>
          <cell r="E293" t="str">
            <v>Dusun Lengkong, RT.001/RW.027, Kel. Wonosari, Kec. Puger</v>
          </cell>
          <cell r="F293" t="str">
            <v>Jember</v>
          </cell>
          <cell r="G293" t="str">
            <v>3509082204940002</v>
          </cell>
          <cell r="H293" t="str">
            <v>000000000000000</v>
          </cell>
          <cell r="J293">
            <v>97777999.999745995</v>
          </cell>
          <cell r="K293">
            <v>18500000</v>
          </cell>
          <cell r="L293">
            <v>116277999.99974599</v>
          </cell>
        </row>
        <row r="294">
          <cell r="B294" t="str">
            <v>ENGG13AC</v>
          </cell>
          <cell r="C294" t="str">
            <v>Damar Batur Nusantara</v>
          </cell>
          <cell r="D294" t="str">
            <v>Musripah</v>
          </cell>
          <cell r="E294" t="str">
            <v>Dusun Babatan, RT.003/RW.018, Kel. Sidomekar, Kec. Semboro</v>
          </cell>
          <cell r="F294" t="str">
            <v>Jember</v>
          </cell>
          <cell r="G294" t="str">
            <v>3509074107390049</v>
          </cell>
          <cell r="H294" t="str">
            <v>000000000000000</v>
          </cell>
          <cell r="J294">
            <v>93519999.999934003</v>
          </cell>
          <cell r="K294">
            <v>18500000</v>
          </cell>
          <cell r="L294">
            <v>112019999.999934</v>
          </cell>
        </row>
        <row r="295">
          <cell r="B295" t="str">
            <v>ENGG14AC</v>
          </cell>
          <cell r="C295" t="str">
            <v>Damar Batur Nusantara</v>
          </cell>
          <cell r="D295" t="str">
            <v>M. Aldo Tampati</v>
          </cell>
          <cell r="E295" t="str">
            <v>Dusun Sambileren, RT.002/RW.014, kel. Purwoasri, Kec. Gumukmas</v>
          </cell>
          <cell r="F295" t="str">
            <v>Jember</v>
          </cell>
          <cell r="G295" t="str">
            <v>3509042405050002</v>
          </cell>
          <cell r="H295" t="str">
            <v>000000000000000</v>
          </cell>
          <cell r="J295">
            <v>118119999.9995416</v>
          </cell>
          <cell r="K295">
            <v>18500000</v>
          </cell>
          <cell r="L295">
            <v>136619999.99954158</v>
          </cell>
        </row>
        <row r="296">
          <cell r="B296" t="str">
            <v>ENGG15AC</v>
          </cell>
          <cell r="C296" t="str">
            <v>Damar Batur Nusantara</v>
          </cell>
          <cell r="D296" t="str">
            <v>Sanari</v>
          </cell>
          <cell r="E296" t="str">
            <v>Dusun Purwosari, RT.002/RW.011, kel. Tanjungsari, Kec. Umbulsari</v>
          </cell>
          <cell r="F296" t="str">
            <v>Jember</v>
          </cell>
          <cell r="G296" t="str">
            <v>3509050505550010</v>
          </cell>
          <cell r="H296" t="str">
            <v>000000000000000</v>
          </cell>
          <cell r="J296">
            <v>114151999.9996724</v>
          </cell>
          <cell r="K296">
            <v>18500000</v>
          </cell>
          <cell r="L296">
            <v>132651999.9996724</v>
          </cell>
        </row>
        <row r="297">
          <cell r="B297" t="str">
            <v>ENGG16AC</v>
          </cell>
          <cell r="C297" t="str">
            <v>Damar Batur Nusantara</v>
          </cell>
          <cell r="D297" t="str">
            <v>Samin</v>
          </cell>
          <cell r="E297" t="str">
            <v>Dusun Purwosari, RT.002/RW.011, kel. Tanjungsari, Kec. Umbulsari</v>
          </cell>
          <cell r="F297" t="str">
            <v>Jember</v>
          </cell>
          <cell r="G297" t="str">
            <v>3509050312610001</v>
          </cell>
          <cell r="H297" t="str">
            <v>000000000000000</v>
          </cell>
          <cell r="J297">
            <v>121695999.999716</v>
          </cell>
          <cell r="K297">
            <v>18500000</v>
          </cell>
          <cell r="L297">
            <v>140195999.99971598</v>
          </cell>
        </row>
        <row r="298">
          <cell r="B298" t="str">
            <v>ENGG17AC</v>
          </cell>
          <cell r="C298" t="str">
            <v>Damar Batur Nusantara</v>
          </cell>
          <cell r="D298" t="str">
            <v>Supar</v>
          </cell>
          <cell r="E298" t="str">
            <v>Dusun Purwosari, RT.001/RW.008, kel. Tanjungsari, Kec. Umbulsari</v>
          </cell>
          <cell r="F298" t="str">
            <v>Jember</v>
          </cell>
          <cell r="G298" t="str">
            <v>3509050507600010</v>
          </cell>
          <cell r="H298" t="str">
            <v>000000000000000</v>
          </cell>
          <cell r="J298">
            <v>136687999.999782</v>
          </cell>
          <cell r="K298">
            <v>18500000</v>
          </cell>
          <cell r="L298">
            <v>155187999.999782</v>
          </cell>
        </row>
        <row r="299">
          <cell r="B299" t="str">
            <v>ENGG18AC</v>
          </cell>
          <cell r="C299" t="str">
            <v>Damar Batur Nusantara</v>
          </cell>
          <cell r="D299" t="str">
            <v>Seniti</v>
          </cell>
          <cell r="E299" t="str">
            <v>Dusun Purwosari, RT.001/RW.007, kel. Tanjungsari, Kec. Umbulsari</v>
          </cell>
          <cell r="F299" t="str">
            <v>Jember</v>
          </cell>
          <cell r="G299" t="str">
            <v>3509054207600006</v>
          </cell>
          <cell r="H299" t="str">
            <v>000000000000000</v>
          </cell>
          <cell r="J299">
            <v>128611999.99972099</v>
          </cell>
          <cell r="K299">
            <v>18500000</v>
          </cell>
          <cell r="L299">
            <v>147111999.99972099</v>
          </cell>
        </row>
        <row r="300">
          <cell r="B300" t="str">
            <v>ENGG19AC</v>
          </cell>
          <cell r="C300" t="str">
            <v>Damar Batur Nusantara</v>
          </cell>
          <cell r="D300" t="str">
            <v>Suyoto</v>
          </cell>
          <cell r="E300" t="str">
            <v>Dusun Kemukuh, RT.001/RW.021, Kel. Tembokrejo, Kec. Gumuk Mas</v>
          </cell>
          <cell r="F300" t="str">
            <v>Jember</v>
          </cell>
          <cell r="G300" t="str">
            <v>3509040601790001</v>
          </cell>
          <cell r="H300" t="str">
            <v>000000000000000</v>
          </cell>
          <cell r="J300">
            <v>132723999.9997012</v>
          </cell>
          <cell r="K300">
            <v>63000000</v>
          </cell>
          <cell r="L300">
            <v>195723999.9997012</v>
          </cell>
        </row>
        <row r="301">
          <cell r="B301" t="str">
            <v>ENGG20AC</v>
          </cell>
          <cell r="C301" t="str">
            <v>Damar Batur Nusantara</v>
          </cell>
          <cell r="D301" t="str">
            <v>Bejo</v>
          </cell>
          <cell r="E301" t="str">
            <v>Dusun Krangkongan, RT.001/RW.013, Kel. Tegal Wangi, Kec. Umbulsari</v>
          </cell>
          <cell r="F301" t="str">
            <v>Jember</v>
          </cell>
          <cell r="G301" t="str">
            <v>3509050201550003</v>
          </cell>
          <cell r="H301" t="str">
            <v>000000000000000</v>
          </cell>
          <cell r="J301">
            <v>108011999.99981999</v>
          </cell>
          <cell r="K301">
            <v>63000000</v>
          </cell>
          <cell r="L301">
            <v>171011999.99981999</v>
          </cell>
        </row>
        <row r="302">
          <cell r="B302" t="str">
            <v>ENGG21AC</v>
          </cell>
          <cell r="C302" t="str">
            <v>Damar Batur Nusantara</v>
          </cell>
          <cell r="D302" t="str">
            <v>Basri</v>
          </cell>
          <cell r="E302" t="str">
            <v>Dusun Purwosari, RT.001/RW.012, Kel. Tanjungsari, Kec. Umbulsari</v>
          </cell>
          <cell r="F302" t="str">
            <v>Jember</v>
          </cell>
          <cell r="G302" t="str">
            <v>3509050107380138</v>
          </cell>
          <cell r="H302" t="str">
            <v>000000000000000</v>
          </cell>
          <cell r="J302">
            <v>96331999.999819994</v>
          </cell>
          <cell r="K302">
            <v>63000000</v>
          </cell>
          <cell r="L302">
            <v>159331999.99981999</v>
          </cell>
        </row>
        <row r="303">
          <cell r="B303" t="str">
            <v>ENGG22AC</v>
          </cell>
          <cell r="C303" t="str">
            <v>Damar Batur Nusantara</v>
          </cell>
          <cell r="D303" t="str">
            <v>Suparti</v>
          </cell>
          <cell r="E303" t="str">
            <v>Dusun Purwosari, RT.001/RW.007, Kel. Tanjungsari, Kec. Umbulsari</v>
          </cell>
          <cell r="F303" t="str">
            <v>Jember</v>
          </cell>
          <cell r="G303" t="str">
            <v>3509054806700006</v>
          </cell>
          <cell r="H303" t="str">
            <v>000000000000000</v>
          </cell>
          <cell r="J303">
            <v>106019599.99980199</v>
          </cell>
          <cell r="K303">
            <v>63000000</v>
          </cell>
          <cell r="L303">
            <v>169019599.99980199</v>
          </cell>
        </row>
        <row r="304">
          <cell r="B304" t="str">
            <v>ENGG23AC</v>
          </cell>
          <cell r="C304" t="str">
            <v>Damar Batur Nusantara</v>
          </cell>
          <cell r="D304" t="str">
            <v>Sri Utami</v>
          </cell>
          <cell r="E304" t="str">
            <v>Dusun Krangkongan, RT.003/RW.014, Kel. Tegal Wangi, Kec. Umbulsari</v>
          </cell>
          <cell r="F304" t="str">
            <v>Jember</v>
          </cell>
          <cell r="G304" t="str">
            <v>3509055207760006</v>
          </cell>
          <cell r="H304" t="str">
            <v>000000000000000</v>
          </cell>
          <cell r="J304">
            <v>80037919.999649689</v>
          </cell>
          <cell r="K304">
            <v>63000000</v>
          </cell>
          <cell r="L304">
            <v>143037919.9996497</v>
          </cell>
        </row>
        <row r="305">
          <cell r="B305" t="str">
            <v>ENGG24AC</v>
          </cell>
          <cell r="C305" t="str">
            <v>Damar Batur Nusantara</v>
          </cell>
          <cell r="D305" t="str">
            <v>Budi Utomo</v>
          </cell>
          <cell r="E305" t="str">
            <v>Dusun Purwosari, RT.001/RW.011, Kel. Tanjungsari, Kec. Umbulsari</v>
          </cell>
          <cell r="F305" t="str">
            <v>Jember</v>
          </cell>
          <cell r="G305" t="str">
            <v>3509051005850003</v>
          </cell>
          <cell r="H305" t="str">
            <v>000000000000000</v>
          </cell>
          <cell r="J305">
            <v>108847359.99891847</v>
          </cell>
          <cell r="K305">
            <v>0</v>
          </cell>
          <cell r="L305">
            <v>108847359.99891847</v>
          </cell>
        </row>
        <row r="306">
          <cell r="B306" t="str">
            <v>ENGG25AC</v>
          </cell>
          <cell r="C306" t="str">
            <v>Damar Batur Nusantara</v>
          </cell>
          <cell r="D306" t="str">
            <v>Muhammad Rio Siswanto</v>
          </cell>
          <cell r="E306" t="str">
            <v>Dusun Ajung Kulon, RT.002/RW.001, Kel. Ajung, Kec. Ajung</v>
          </cell>
          <cell r="F306" t="str">
            <v>Jember</v>
          </cell>
          <cell r="G306" t="str">
            <v>3509171407980002</v>
          </cell>
          <cell r="H306" t="str">
            <v>000000000000000</v>
          </cell>
          <cell r="J306">
            <v>115015040</v>
          </cell>
          <cell r="K306">
            <v>0</v>
          </cell>
          <cell r="L306">
            <v>115015040</v>
          </cell>
        </row>
        <row r="307">
          <cell r="B307" t="str">
            <v>ENGG26AC</v>
          </cell>
          <cell r="C307" t="str">
            <v>Damar Batur Nusantara</v>
          </cell>
          <cell r="D307" t="str">
            <v>Siti Eka Perwitosari</v>
          </cell>
          <cell r="E307" t="str">
            <v>Dusun Krajan, RT.002/RW.008, Kel. Bagorejo, Kec. Gumukmas</v>
          </cell>
          <cell r="F307" t="str">
            <v>Jember</v>
          </cell>
          <cell r="G307" t="str">
            <v>3509044903010003</v>
          </cell>
          <cell r="H307" t="str">
            <v>000000000000000</v>
          </cell>
          <cell r="J307">
            <v>108466400</v>
          </cell>
          <cell r="K307">
            <v>0</v>
          </cell>
          <cell r="L307">
            <v>108466400</v>
          </cell>
        </row>
        <row r="308">
          <cell r="B308" t="str">
            <v>ENGG27AC</v>
          </cell>
          <cell r="C308" t="str">
            <v>Damar Batur Nusantara</v>
          </cell>
          <cell r="D308" t="str">
            <v>Syahrul Halim</v>
          </cell>
          <cell r="E308" t="str">
            <v>Dusun Besuki, RT.002/RW.027, Kel. Sidomekar, Kec. Semboro</v>
          </cell>
          <cell r="F308" t="str">
            <v>Jember</v>
          </cell>
          <cell r="G308" t="str">
            <v>3509070907000003</v>
          </cell>
          <cell r="H308" t="str">
            <v>000000000000000</v>
          </cell>
          <cell r="J308">
            <v>107131999.9999108</v>
          </cell>
          <cell r="K308">
            <v>0</v>
          </cell>
          <cell r="L308">
            <v>107131999.9999108</v>
          </cell>
        </row>
        <row r="309">
          <cell r="B309" t="str">
            <v>ENGG28AC</v>
          </cell>
          <cell r="C309" t="str">
            <v>Damar Batur Nusantara</v>
          </cell>
          <cell r="D309" t="str">
            <v>Nabila Faradina Azzahro</v>
          </cell>
          <cell r="E309" t="str">
            <v>Dusun Babatan, RT.001/RW.019, Kel. Sidomekar, Kec. Semboro</v>
          </cell>
          <cell r="F309" t="str">
            <v>Jember</v>
          </cell>
          <cell r="G309" t="str">
            <v>3509076706010004</v>
          </cell>
          <cell r="H309" t="str">
            <v>000000000000000</v>
          </cell>
          <cell r="J309">
            <v>101015999.9999406</v>
          </cell>
          <cell r="K309">
            <v>0</v>
          </cell>
          <cell r="L309">
            <v>101015999.9999406</v>
          </cell>
        </row>
        <row r="310">
          <cell r="B310" t="str">
            <v>ENGG29AC</v>
          </cell>
          <cell r="C310" t="str">
            <v>Damar Batur Nusantara</v>
          </cell>
          <cell r="D310" t="str">
            <v>M. Nashihul Kholqi</v>
          </cell>
          <cell r="E310" t="str">
            <v>Dusun Krajan I, RT.002/RW.015, Kel. Jombang, Kec. Jombang</v>
          </cell>
          <cell r="F310" t="str">
            <v>Jember</v>
          </cell>
          <cell r="G310" t="str">
            <v>3509012402000003</v>
          </cell>
          <cell r="H310" t="str">
            <v>000000000000000</v>
          </cell>
          <cell r="J310">
            <v>142271999.99994719</v>
          </cell>
          <cell r="K310">
            <v>0</v>
          </cell>
          <cell r="L310">
            <v>142271999.99994719</v>
          </cell>
        </row>
        <row r="311">
          <cell r="B311" t="str">
            <v>ENGG30AC</v>
          </cell>
          <cell r="C311" t="str">
            <v>Damar Batur Nusantara</v>
          </cell>
          <cell r="D311" t="str">
            <v>Ngatimin</v>
          </cell>
          <cell r="E311" t="str">
            <v>Dusun Pakem, RT.001/RW.010, Kel. Wringintelu, Kec. Puger</v>
          </cell>
          <cell r="F311" t="str">
            <v>Jember</v>
          </cell>
          <cell r="G311" t="str">
            <v>3509081106640005</v>
          </cell>
          <cell r="H311" t="str">
            <v>000000000000000</v>
          </cell>
          <cell r="J311">
            <v>146449999.9997479</v>
          </cell>
          <cell r="K311">
            <v>0</v>
          </cell>
          <cell r="L311">
            <v>146449999.9997479</v>
          </cell>
        </row>
        <row r="312">
          <cell r="B312" t="str">
            <v>ENGG31AC</v>
          </cell>
          <cell r="C312" t="str">
            <v>Damar Batur Nusantara</v>
          </cell>
          <cell r="D312" t="str">
            <v>Supiyan</v>
          </cell>
          <cell r="E312" t="str">
            <v>Dusun Krangkongan, RT.001/RW.014, Kel. Tegal Wangi, Kec. Umbulsari</v>
          </cell>
          <cell r="F312" t="str">
            <v>Jember</v>
          </cell>
          <cell r="G312" t="str">
            <v>3509050403650005</v>
          </cell>
          <cell r="H312" t="str">
            <v>000000000000000</v>
          </cell>
          <cell r="J312">
            <v>138779999.999874</v>
          </cell>
          <cell r="K312">
            <v>0</v>
          </cell>
          <cell r="L312">
            <v>138779999.999874</v>
          </cell>
        </row>
        <row r="313">
          <cell r="B313" t="str">
            <v>ENGG32AC</v>
          </cell>
          <cell r="C313" t="str">
            <v>Damar Batur Nusantara</v>
          </cell>
          <cell r="D313" t="str">
            <v>Mat Saji</v>
          </cell>
          <cell r="E313" t="str">
            <v>Dusun Krajan, RT.002/RW.006, Kel. Wringintelu, Kec. Puger</v>
          </cell>
          <cell r="F313" t="str">
            <v>Jember</v>
          </cell>
          <cell r="G313" t="str">
            <v>3509080107630634</v>
          </cell>
          <cell r="H313" t="str">
            <v>000000000000000</v>
          </cell>
          <cell r="J313">
            <v>147935999.9999586</v>
          </cell>
          <cell r="K313">
            <v>0</v>
          </cell>
          <cell r="L313">
            <v>147935999.9999586</v>
          </cell>
        </row>
        <row r="314">
          <cell r="B314" t="str">
            <v>ENGG33AC</v>
          </cell>
          <cell r="C314" t="str">
            <v>Damar Batur Nusantara</v>
          </cell>
          <cell r="D314" t="str">
            <v>Lilik Ismiati</v>
          </cell>
          <cell r="E314" t="str">
            <v>Dusun Purwosari, RT.002/RW.012, Kel. Tanjungsari, Kec. Umbulsari</v>
          </cell>
          <cell r="F314" t="str">
            <v>Jember</v>
          </cell>
          <cell r="G314" t="str">
            <v>3509055212650003</v>
          </cell>
          <cell r="H314" t="str">
            <v>000000000000000</v>
          </cell>
          <cell r="J314">
            <v>117679999.99979199</v>
          </cell>
          <cell r="K314">
            <v>0</v>
          </cell>
          <cell r="L314">
            <v>117679999.99979199</v>
          </cell>
        </row>
        <row r="315">
          <cell r="B315" t="str">
            <v>ENGG34AC</v>
          </cell>
          <cell r="C315" t="str">
            <v>Damar Batur Nusantara</v>
          </cell>
          <cell r="D315" t="str">
            <v>Muhammad Hasyim</v>
          </cell>
          <cell r="E315" t="str">
            <v>Dusun Purwosari, RT.001/RW.011, Kel. Tanjungsari, Kec. Umbulsari</v>
          </cell>
          <cell r="F315" t="str">
            <v>Jember</v>
          </cell>
          <cell r="G315" t="str">
            <v>3509050910850001</v>
          </cell>
          <cell r="H315" t="str">
            <v>000000000000000</v>
          </cell>
          <cell r="J315">
            <v>109811999.9996642</v>
          </cell>
          <cell r="K315">
            <v>0</v>
          </cell>
          <cell r="L315">
            <v>109811999.9996642</v>
          </cell>
        </row>
        <row r="316">
          <cell r="B316" t="str">
            <v>ENGG35AC</v>
          </cell>
          <cell r="C316" t="str">
            <v>Damar Batur Nusantara</v>
          </cell>
          <cell r="D316" t="str">
            <v>Sulastri</v>
          </cell>
          <cell r="E316" t="str">
            <v>Dusun Krangkongan, RT.003/RW.014, Kel. Tegal Wangi, Kec. Umbulsari</v>
          </cell>
          <cell r="F316" t="str">
            <v>Jember</v>
          </cell>
          <cell r="G316" t="str">
            <v>3509055112690005</v>
          </cell>
          <cell r="H316" t="str">
            <v>000000000000000</v>
          </cell>
          <cell r="J316">
            <v>128087999.99979199</v>
          </cell>
          <cell r="K316">
            <v>0</v>
          </cell>
          <cell r="L316">
            <v>128087999.99979199</v>
          </cell>
        </row>
        <row r="317">
          <cell r="B317" t="str">
            <v>EVAN01AC</v>
          </cell>
          <cell r="C317" t="str">
            <v>Evan Jaya, UD</v>
          </cell>
          <cell r="D317" t="str">
            <v>Zulkarnain</v>
          </cell>
          <cell r="E317" t="str">
            <v>Jln. Lintas Tente Karumbu, RT.007/Rw.004, Kel. Ncera, Kec. Belo</v>
          </cell>
          <cell r="F317" t="str">
            <v>Bima</v>
          </cell>
          <cell r="G317" t="str">
            <v>5206041607931003</v>
          </cell>
          <cell r="H317" t="str">
            <v>000000000000000</v>
          </cell>
          <cell r="J317">
            <v>0</v>
          </cell>
          <cell r="K317">
            <v>0</v>
          </cell>
          <cell r="L317">
            <v>0</v>
          </cell>
        </row>
        <row r="318">
          <cell r="B318" t="str">
            <v>EVAN02AC</v>
          </cell>
          <cell r="C318" t="str">
            <v>Evan Jaya, UD</v>
          </cell>
          <cell r="D318" t="str">
            <v>Junaidin</v>
          </cell>
          <cell r="E318" t="str">
            <v>Dusun Santula, RT.012/RW.007, Kel. Samili, Kec. Woha</v>
          </cell>
          <cell r="F318" t="str">
            <v>Bima</v>
          </cell>
          <cell r="G318" t="str">
            <v>5206030510771002</v>
          </cell>
          <cell r="H318" t="str">
            <v>000000000000000</v>
          </cell>
          <cell r="J318">
            <v>0</v>
          </cell>
          <cell r="K318">
            <v>0</v>
          </cell>
          <cell r="L318">
            <v>0</v>
          </cell>
        </row>
        <row r="319">
          <cell r="B319" t="str">
            <v>EVAN03AC</v>
          </cell>
          <cell r="C319" t="str">
            <v>Evan Jaya, UD</v>
          </cell>
          <cell r="D319" t="str">
            <v>Jualfin</v>
          </cell>
          <cell r="E319" t="str">
            <v>Bgali, RT.001/RW.001, Kel. Ngali, Kec. Belo</v>
          </cell>
          <cell r="F319" t="str">
            <v>Bima</v>
          </cell>
          <cell r="G319" t="str">
            <v>5206041205930005</v>
          </cell>
          <cell r="H319" t="str">
            <v>000000000000000</v>
          </cell>
          <cell r="J319">
            <v>0</v>
          </cell>
          <cell r="K319">
            <v>0</v>
          </cell>
          <cell r="L319">
            <v>0</v>
          </cell>
        </row>
        <row r="320">
          <cell r="B320" t="str">
            <v>EVAN04AC</v>
          </cell>
          <cell r="C320" t="str">
            <v>Evan Jaya, UD</v>
          </cell>
          <cell r="D320" t="str">
            <v>Zulkifli</v>
          </cell>
          <cell r="E320" t="str">
            <v>Samili, RT.012/RW.006, Kel. Samili, Kec. Woha</v>
          </cell>
          <cell r="F320" t="str">
            <v>Bima</v>
          </cell>
          <cell r="G320" t="str">
            <v>5206030709711004</v>
          </cell>
          <cell r="H320" t="str">
            <v>000000000000000</v>
          </cell>
          <cell r="J320">
            <v>0</v>
          </cell>
          <cell r="K320">
            <v>0</v>
          </cell>
          <cell r="L320">
            <v>0</v>
          </cell>
        </row>
        <row r="321">
          <cell r="B321" t="str">
            <v>EVAN05AC</v>
          </cell>
          <cell r="C321" t="str">
            <v>Evan Jaya, UD</v>
          </cell>
          <cell r="D321" t="str">
            <v>Samsudin</v>
          </cell>
          <cell r="E321" t="str">
            <v>Ngali, RT.010/RW.003, Kel. Ngali, Kec. Belo</v>
          </cell>
          <cell r="F321" t="str">
            <v>Bima</v>
          </cell>
          <cell r="G321" t="str">
            <v>5206042305000001</v>
          </cell>
          <cell r="H321" t="str">
            <v>000000000000000</v>
          </cell>
          <cell r="J321">
            <v>0</v>
          </cell>
          <cell r="K321">
            <v>0</v>
          </cell>
          <cell r="L321">
            <v>0</v>
          </cell>
        </row>
        <row r="322">
          <cell r="B322" t="str">
            <v>EVAN06AC</v>
          </cell>
          <cell r="C322" t="str">
            <v>Evan Jaya, UD</v>
          </cell>
          <cell r="D322" t="str">
            <v>Asbah</v>
          </cell>
          <cell r="E322" t="str">
            <v>Tanjung Baru, RT.011/RW.005, Kel. Tangga Baru, Kec. Monta</v>
          </cell>
          <cell r="F322" t="str">
            <v>Bima</v>
          </cell>
          <cell r="G322" t="str">
            <v>5206012706960003</v>
          </cell>
          <cell r="H322" t="str">
            <v>000000000000000</v>
          </cell>
          <cell r="J322">
            <v>0</v>
          </cell>
          <cell r="K322">
            <v>0</v>
          </cell>
          <cell r="L322">
            <v>0</v>
          </cell>
        </row>
        <row r="323">
          <cell r="B323" t="str">
            <v>EVAN07AC</v>
          </cell>
          <cell r="C323" t="str">
            <v>Evan Jaya, UD</v>
          </cell>
          <cell r="D323" t="str">
            <v>Subhan</v>
          </cell>
          <cell r="E323" t="str">
            <v>Dusun Kalate, RT.009/RW.004, Kel. Soki, Kec. Belo</v>
          </cell>
          <cell r="F323" t="str">
            <v>Bima</v>
          </cell>
          <cell r="G323" t="str">
            <v>5206041102840002</v>
          </cell>
          <cell r="H323" t="str">
            <v>000000000000000</v>
          </cell>
          <cell r="J323">
            <v>0</v>
          </cell>
          <cell r="K323">
            <v>0</v>
          </cell>
          <cell r="L323">
            <v>0</v>
          </cell>
        </row>
        <row r="324">
          <cell r="B324" t="str">
            <v>EVAN08AC</v>
          </cell>
          <cell r="C324" t="str">
            <v>Evan Jaya, UD</v>
          </cell>
          <cell r="D324" t="str">
            <v>Puasa</v>
          </cell>
          <cell r="E324" t="str">
            <v>Tanjung Baru, RT.004/RW.002, Kel. Tangga Baru, Kec. Monta</v>
          </cell>
          <cell r="F324" t="str">
            <v>Bima</v>
          </cell>
          <cell r="G324" t="str">
            <v>5206010107831195</v>
          </cell>
          <cell r="H324" t="str">
            <v>000000000000000</v>
          </cell>
          <cell r="J324">
            <v>0</v>
          </cell>
          <cell r="K324">
            <v>0</v>
          </cell>
          <cell r="L324">
            <v>0</v>
          </cell>
        </row>
        <row r="325">
          <cell r="B325" t="str">
            <v>EVAN09AC</v>
          </cell>
          <cell r="C325" t="str">
            <v>Evan Jaya, UD</v>
          </cell>
          <cell r="D325" t="str">
            <v>Hadijah</v>
          </cell>
          <cell r="E325" t="str">
            <v>Tanjung Baru, RT.004/RW.009, Kel. Tangga Baru, Kec. Monta</v>
          </cell>
          <cell r="F325" t="str">
            <v>Bima</v>
          </cell>
          <cell r="G325" t="str">
            <v>5206014107851257</v>
          </cell>
          <cell r="H325" t="str">
            <v>000000000000000</v>
          </cell>
          <cell r="J325">
            <v>0</v>
          </cell>
          <cell r="K325">
            <v>0</v>
          </cell>
          <cell r="L325">
            <v>0</v>
          </cell>
        </row>
        <row r="326">
          <cell r="B326" t="str">
            <v>EVAN10AC</v>
          </cell>
          <cell r="C326" t="str">
            <v>Evan Jaya, UD</v>
          </cell>
          <cell r="D326" t="str">
            <v>Sukarman</v>
          </cell>
          <cell r="E326" t="str">
            <v>Ngali, RT.016/RW.004, Kel. Ngali, Kec. Belo</v>
          </cell>
          <cell r="F326" t="str">
            <v>Bima</v>
          </cell>
          <cell r="G326" t="str">
            <v>5206043012630003</v>
          </cell>
          <cell r="H326" t="str">
            <v>000000000000000</v>
          </cell>
          <cell r="J326">
            <v>0</v>
          </cell>
          <cell r="K326">
            <v>0</v>
          </cell>
          <cell r="L326">
            <v>0</v>
          </cell>
        </row>
        <row r="327">
          <cell r="B327" t="str">
            <v>EVAN11AC</v>
          </cell>
          <cell r="C327" t="str">
            <v>Evan Jaya, UD</v>
          </cell>
          <cell r="D327" t="str">
            <v>Iwan Setiawan</v>
          </cell>
          <cell r="E327" t="str">
            <v>Ngali, RT.020/RW.007, Kel. Ngali, Kec. Belo</v>
          </cell>
          <cell r="F327" t="str">
            <v>Bima</v>
          </cell>
          <cell r="G327" t="str">
            <v>5206071511930001</v>
          </cell>
          <cell r="H327" t="str">
            <v>000000000000000</v>
          </cell>
          <cell r="J327">
            <v>0</v>
          </cell>
          <cell r="K327">
            <v>0</v>
          </cell>
          <cell r="L327">
            <v>0</v>
          </cell>
        </row>
        <row r="328">
          <cell r="B328" t="str">
            <v>EVAN12AC</v>
          </cell>
          <cell r="C328" t="str">
            <v>Evan Jaya, UD</v>
          </cell>
          <cell r="D328" t="str">
            <v>Mubadin</v>
          </cell>
          <cell r="E328" t="str">
            <v>Lido, RT.002/RW.001, Kel. Lido, Kec. Belo</v>
          </cell>
          <cell r="F328" t="str">
            <v>Bima</v>
          </cell>
          <cell r="G328" t="str">
            <v>5206040908891004</v>
          </cell>
          <cell r="H328" t="str">
            <v>000000000000000</v>
          </cell>
          <cell r="J328">
            <v>0</v>
          </cell>
          <cell r="K328">
            <v>0</v>
          </cell>
          <cell r="L328">
            <v>0</v>
          </cell>
        </row>
        <row r="329">
          <cell r="B329" t="str">
            <v>EVAN13AC</v>
          </cell>
          <cell r="C329" t="str">
            <v>Evan Jaya, UD</v>
          </cell>
          <cell r="D329" t="str">
            <v>Nisfullail</v>
          </cell>
          <cell r="E329" t="str">
            <v>Ngali, RT.005/RW.001, Kel. Ngali, Kec. Belo</v>
          </cell>
          <cell r="F329" t="str">
            <v>Bima</v>
          </cell>
          <cell r="G329" t="str">
            <v>5206040208890001</v>
          </cell>
          <cell r="H329" t="str">
            <v>000000000000000</v>
          </cell>
          <cell r="J329">
            <v>0</v>
          </cell>
          <cell r="K329">
            <v>0</v>
          </cell>
          <cell r="L329">
            <v>0</v>
          </cell>
        </row>
        <row r="330">
          <cell r="B330" t="str">
            <v>EVAN14AC</v>
          </cell>
          <cell r="C330" t="str">
            <v>Evan Jaya, UD</v>
          </cell>
          <cell r="D330" t="str">
            <v>Suhardin</v>
          </cell>
          <cell r="E330" t="str">
            <v>Ngali, RT.020/RW.007, Kel. Ngali, Kec. Belo</v>
          </cell>
          <cell r="F330" t="str">
            <v>Bima</v>
          </cell>
          <cell r="G330" t="str">
            <v>5206041203950001</v>
          </cell>
          <cell r="H330" t="str">
            <v>000000000000000</v>
          </cell>
          <cell r="J330">
            <v>0</v>
          </cell>
          <cell r="K330">
            <v>0</v>
          </cell>
          <cell r="L330">
            <v>0</v>
          </cell>
        </row>
        <row r="331">
          <cell r="B331" t="str">
            <v>EVAN15AC</v>
          </cell>
          <cell r="C331" t="str">
            <v>Evan Jaya, UD</v>
          </cell>
          <cell r="D331" t="str">
            <v>Buhari</v>
          </cell>
          <cell r="E331" t="str">
            <v>Lido, RT.006/RW.002, Kel. Lido, Kec. Belo</v>
          </cell>
          <cell r="F331" t="str">
            <v>Bima</v>
          </cell>
          <cell r="G331" t="str">
            <v>5206040102830003</v>
          </cell>
          <cell r="H331" t="str">
            <v>000000000000000</v>
          </cell>
          <cell r="J331">
            <v>0</v>
          </cell>
          <cell r="K331">
            <v>0</v>
          </cell>
          <cell r="L331">
            <v>0</v>
          </cell>
        </row>
        <row r="332">
          <cell r="B332" t="str">
            <v>EVAN16AC</v>
          </cell>
          <cell r="C332" t="str">
            <v>Evan Jaya, UD</v>
          </cell>
          <cell r="D332" t="str">
            <v>Mansyur</v>
          </cell>
          <cell r="E332" t="str">
            <v>Ngali, RT.017/RW.004, Kel. Ngali, Kec. Belo</v>
          </cell>
          <cell r="F332" t="str">
            <v>Bima</v>
          </cell>
          <cell r="G332" t="str">
            <v>5206040502790001</v>
          </cell>
          <cell r="H332" t="str">
            <v>000000000000000</v>
          </cell>
          <cell r="J332">
            <v>0</v>
          </cell>
          <cell r="K332">
            <v>0</v>
          </cell>
          <cell r="L332">
            <v>0</v>
          </cell>
        </row>
        <row r="333">
          <cell r="B333" t="str">
            <v>EVAN17AC</v>
          </cell>
          <cell r="C333" t="str">
            <v>Evan Jaya, UD</v>
          </cell>
          <cell r="D333" t="str">
            <v>Burhanudin</v>
          </cell>
          <cell r="E333" t="str">
            <v>Ngali, RT.021/RW.006, Kel. Ngali, Kec. Belo</v>
          </cell>
          <cell r="F333" t="str">
            <v>Bima</v>
          </cell>
          <cell r="G333" t="str">
            <v>5206040107861091</v>
          </cell>
          <cell r="H333" t="str">
            <v>000000000000000</v>
          </cell>
          <cell r="J333">
            <v>0</v>
          </cell>
          <cell r="K333">
            <v>0</v>
          </cell>
          <cell r="L333">
            <v>0</v>
          </cell>
        </row>
        <row r="334">
          <cell r="B334" t="str">
            <v>EVAN18AC</v>
          </cell>
          <cell r="C334" t="str">
            <v>Evan Jaya, UD</v>
          </cell>
          <cell r="D334" t="str">
            <v>Suharmaji</v>
          </cell>
          <cell r="E334" t="str">
            <v>Ngali, RT.020/RW.007, Kel. Ngali, Kec. Belo</v>
          </cell>
          <cell r="F334" t="str">
            <v>Bima</v>
          </cell>
          <cell r="G334" t="str">
            <v>5206041010960003</v>
          </cell>
          <cell r="H334" t="str">
            <v>000000000000000</v>
          </cell>
          <cell r="J334">
            <v>0</v>
          </cell>
          <cell r="K334">
            <v>0</v>
          </cell>
          <cell r="L334">
            <v>0</v>
          </cell>
        </row>
        <row r="335">
          <cell r="B335" t="str">
            <v>EVAN19AC</v>
          </cell>
          <cell r="C335" t="str">
            <v>Evan Jaya, UD</v>
          </cell>
          <cell r="D335" t="str">
            <v>Irwansyah</v>
          </cell>
          <cell r="E335" t="str">
            <v>Ngali, RT.012/RW.004, Kel. Ngali, Kec. Belo</v>
          </cell>
          <cell r="F335" t="str">
            <v>Bima</v>
          </cell>
          <cell r="G335" t="str">
            <v>5206111411960001</v>
          </cell>
          <cell r="H335" t="str">
            <v>000000000000000</v>
          </cell>
          <cell r="J335">
            <v>0</v>
          </cell>
          <cell r="K335">
            <v>0</v>
          </cell>
          <cell r="L335">
            <v>0</v>
          </cell>
        </row>
        <row r="336">
          <cell r="B336" t="str">
            <v>EVAN20AC</v>
          </cell>
          <cell r="C336" t="str">
            <v>Evan Jaya, UD</v>
          </cell>
          <cell r="D336" t="str">
            <v>Yufitasari</v>
          </cell>
          <cell r="E336" t="str">
            <v>Dsn. Telaga Renda, RT.018/RW.001, Kel. Renda, Kec. Belo</v>
          </cell>
          <cell r="F336" t="str">
            <v>Bima</v>
          </cell>
          <cell r="G336" t="str">
            <v>5206044703021003</v>
          </cell>
          <cell r="H336" t="str">
            <v>000000000000000</v>
          </cell>
          <cell r="J336">
            <v>0</v>
          </cell>
          <cell r="K336">
            <v>0</v>
          </cell>
          <cell r="L336">
            <v>0</v>
          </cell>
        </row>
        <row r="337">
          <cell r="B337" t="str">
            <v>EVAN21AC</v>
          </cell>
          <cell r="C337" t="str">
            <v>Evan Jaya, UD</v>
          </cell>
          <cell r="D337" t="str">
            <v>RobinSyah</v>
          </cell>
          <cell r="E337" t="str">
            <v>Dsn. Telaga Renda, RT.018/RW.001, Kel. Renda, Kec. Belo</v>
          </cell>
          <cell r="F337" t="str">
            <v>Bima</v>
          </cell>
          <cell r="G337" t="str">
            <v>5206040512990002</v>
          </cell>
          <cell r="H337" t="str">
            <v>000000000000000</v>
          </cell>
          <cell r="J337">
            <v>0</v>
          </cell>
          <cell r="K337">
            <v>0</v>
          </cell>
          <cell r="L337">
            <v>0</v>
          </cell>
        </row>
        <row r="338">
          <cell r="B338" t="str">
            <v>EVAN22AC</v>
          </cell>
          <cell r="C338" t="str">
            <v>Evan Jaya, UD</v>
          </cell>
          <cell r="D338" t="str">
            <v>Jufrin</v>
          </cell>
          <cell r="E338" t="str">
            <v>Ngali, RT.003/RW.001, Kel. Ngali, Kec. Belo</v>
          </cell>
          <cell r="F338" t="str">
            <v>Bima</v>
          </cell>
          <cell r="G338" t="str">
            <v>5206043112630042</v>
          </cell>
          <cell r="H338" t="str">
            <v>000000000000000</v>
          </cell>
          <cell r="J338">
            <v>0</v>
          </cell>
          <cell r="K338">
            <v>0</v>
          </cell>
          <cell r="L338">
            <v>0</v>
          </cell>
        </row>
        <row r="339">
          <cell r="B339" t="str">
            <v>EVAN23AC</v>
          </cell>
          <cell r="C339" t="str">
            <v>Evan Jaya, UD</v>
          </cell>
          <cell r="D339" t="str">
            <v>ST. Maryam</v>
          </cell>
          <cell r="E339" t="str">
            <v>Ncera, RT.002/005, Kel. Ncera, Kec. Belo</v>
          </cell>
          <cell r="F339" t="str">
            <v>Bima</v>
          </cell>
          <cell r="G339" t="str">
            <v>5206045312620001</v>
          </cell>
          <cell r="H339" t="str">
            <v>000000000000000</v>
          </cell>
          <cell r="J339">
            <v>0</v>
          </cell>
          <cell r="K339">
            <v>0</v>
          </cell>
          <cell r="L339">
            <v>0</v>
          </cell>
        </row>
        <row r="340">
          <cell r="B340" t="str">
            <v>EVAN24AC</v>
          </cell>
          <cell r="C340" t="str">
            <v>Evan Jaya, UD</v>
          </cell>
          <cell r="D340" t="str">
            <v>Juharuddin</v>
          </cell>
          <cell r="E340" t="str">
            <v>Jl. Lintas Tente Karumbu, RT,002/RW,001, Kel. Diha, Kec. Belo</v>
          </cell>
          <cell r="F340" t="str">
            <v>Bima</v>
          </cell>
          <cell r="G340" t="str">
            <v>5206040906940003</v>
          </cell>
          <cell r="H340" t="str">
            <v>000000000000000</v>
          </cell>
          <cell r="J340">
            <v>0</v>
          </cell>
          <cell r="K340">
            <v>0</v>
          </cell>
          <cell r="L340">
            <v>0</v>
          </cell>
        </row>
        <row r="341">
          <cell r="B341" t="str">
            <v>EVAN25AC</v>
          </cell>
          <cell r="C341" t="str">
            <v>Evan Jaya, UD</v>
          </cell>
          <cell r="D341" t="str">
            <v>Mansyur</v>
          </cell>
          <cell r="E341" t="str">
            <v>Jl. Lintas Tente Karumbu, RT,002/RW,002, Kel. Ncera, Kec. Belo</v>
          </cell>
          <cell r="F341" t="str">
            <v>Bima</v>
          </cell>
          <cell r="G341" t="str">
            <v>5206040711810001</v>
          </cell>
          <cell r="H341" t="str">
            <v>000000000000000</v>
          </cell>
          <cell r="J341">
            <v>0</v>
          </cell>
          <cell r="K341">
            <v>0</v>
          </cell>
          <cell r="L341">
            <v>0</v>
          </cell>
        </row>
        <row r="342">
          <cell r="B342" t="str">
            <v>EVAN26AC</v>
          </cell>
          <cell r="C342" t="str">
            <v>Evan Jaya, UD</v>
          </cell>
          <cell r="D342" t="str">
            <v>Yasin A Kadir</v>
          </cell>
          <cell r="E342" t="str">
            <v>Bojong Menteng, RT.001/RW.006, Kel. Bojong Menteng, Kec. Rawa Lumbu</v>
          </cell>
          <cell r="F342" t="str">
            <v>Bekasi</v>
          </cell>
          <cell r="G342" t="str">
            <v>3275050408860005</v>
          </cell>
          <cell r="H342" t="str">
            <v>000000000000000</v>
          </cell>
          <cell r="J342">
            <v>0</v>
          </cell>
          <cell r="K342">
            <v>0</v>
          </cell>
          <cell r="L342">
            <v>0</v>
          </cell>
        </row>
        <row r="343">
          <cell r="B343" t="str">
            <v>EVAN27AC</v>
          </cell>
          <cell r="C343" t="str">
            <v>Evan Jaya, UD</v>
          </cell>
          <cell r="D343" t="str">
            <v>Ilyas Yasin</v>
          </cell>
          <cell r="E343" t="str">
            <v>Ngali, RT.001/RW.001, Kel. Ngali, Kec. Belo</v>
          </cell>
          <cell r="F343" t="str">
            <v>Bima</v>
          </cell>
          <cell r="G343" t="str">
            <v>5206040507891004</v>
          </cell>
          <cell r="H343" t="str">
            <v>000000000000000</v>
          </cell>
          <cell r="J343">
            <v>0</v>
          </cell>
          <cell r="K343">
            <v>0</v>
          </cell>
          <cell r="L343">
            <v>0</v>
          </cell>
        </row>
        <row r="344">
          <cell r="B344" t="str">
            <v>EVAN28AC</v>
          </cell>
          <cell r="C344" t="str">
            <v>Evan Jaya, UD</v>
          </cell>
          <cell r="D344" t="str">
            <v>Yasin</v>
          </cell>
          <cell r="E344" t="str">
            <v>Dusun Oi kalate, RT.006, RW.005, Kel. Soki, Kec. Belo</v>
          </cell>
          <cell r="F344" t="str">
            <v>Bima</v>
          </cell>
          <cell r="G344" t="str">
            <v>5206040906760002</v>
          </cell>
          <cell r="H344" t="str">
            <v>000000000000000</v>
          </cell>
          <cell r="J344">
            <v>0</v>
          </cell>
          <cell r="K344">
            <v>0</v>
          </cell>
          <cell r="L344">
            <v>0</v>
          </cell>
        </row>
        <row r="345">
          <cell r="B345" t="str">
            <v>EVAN29AC</v>
          </cell>
          <cell r="C345" t="str">
            <v>Evan Jaya, UD</v>
          </cell>
          <cell r="D345" t="str">
            <v>Andi Gunarso</v>
          </cell>
          <cell r="E345" t="str">
            <v>Sai, RT.025/RW.012, Kel. Sai, Kec. Soromandi</v>
          </cell>
          <cell r="F345" t="str">
            <v>Bima</v>
          </cell>
          <cell r="G345" t="str">
            <v>5206150203861005</v>
          </cell>
          <cell r="H345" t="str">
            <v>000000000000000</v>
          </cell>
          <cell r="J345">
            <v>0</v>
          </cell>
          <cell r="K345">
            <v>0</v>
          </cell>
          <cell r="L345">
            <v>0</v>
          </cell>
        </row>
        <row r="346">
          <cell r="B346" t="str">
            <v>EVAN30AC</v>
          </cell>
          <cell r="C346" t="str">
            <v>Evan Jaya, UD</v>
          </cell>
          <cell r="D346" t="str">
            <v>Siti Qomariatun</v>
          </cell>
          <cell r="E346" t="str">
            <v>Sai, RT.003/RW.003, Kel. Sai, Kec. Soromandi</v>
          </cell>
          <cell r="F346" t="str">
            <v>Bima</v>
          </cell>
          <cell r="G346" t="str">
            <v>5206154901921003</v>
          </cell>
          <cell r="H346" t="str">
            <v>000000000000000</v>
          </cell>
          <cell r="J346">
            <v>0</v>
          </cell>
          <cell r="K346">
            <v>0</v>
          </cell>
          <cell r="L346">
            <v>0</v>
          </cell>
        </row>
        <row r="347">
          <cell r="B347" t="str">
            <v>EVAN31AC</v>
          </cell>
          <cell r="C347" t="str">
            <v>Evan Jaya, UD</v>
          </cell>
          <cell r="D347" t="str">
            <v>Ardiansyah</v>
          </cell>
          <cell r="E347" t="str">
            <v>Dusun Dewa Kala, RT.004/RW.002, Kel. Soki, Kec. Belo</v>
          </cell>
          <cell r="F347" t="str">
            <v>Bima</v>
          </cell>
          <cell r="G347" t="str">
            <v>5206041006960005</v>
          </cell>
          <cell r="H347" t="str">
            <v>000000000000000</v>
          </cell>
          <cell r="J347">
            <v>0</v>
          </cell>
          <cell r="K347">
            <v>0</v>
          </cell>
          <cell r="L347">
            <v>0</v>
          </cell>
        </row>
        <row r="348">
          <cell r="B348" t="str">
            <v>EVAN32AC</v>
          </cell>
          <cell r="C348" t="str">
            <v>Evan Jaya, UD</v>
          </cell>
          <cell r="D348" t="str">
            <v>A. Kasyim</v>
          </cell>
          <cell r="E348" t="str">
            <v>Ncera,RT.003/RW.001, Kel. Ncera, Kec. Belo</v>
          </cell>
          <cell r="F348" t="str">
            <v>Bima</v>
          </cell>
          <cell r="G348" t="str">
            <v>5206043112560020</v>
          </cell>
          <cell r="H348" t="str">
            <v>000000000000000</v>
          </cell>
          <cell r="J348">
            <v>0</v>
          </cell>
          <cell r="K348">
            <v>0</v>
          </cell>
          <cell r="L348">
            <v>0</v>
          </cell>
        </row>
        <row r="349">
          <cell r="B349" t="str">
            <v>EVAN33AC</v>
          </cell>
          <cell r="C349" t="str">
            <v>Evan Jaya, UD</v>
          </cell>
          <cell r="D349" t="str">
            <v>Asnawi</v>
          </cell>
          <cell r="E349" t="str">
            <v>Ncera,RT.002/RW.001, Kel. Ncera, Kec. Belo</v>
          </cell>
          <cell r="F349" t="str">
            <v>Bima</v>
          </cell>
          <cell r="G349" t="str">
            <v>5206042106790001</v>
          </cell>
          <cell r="H349" t="str">
            <v>000000000000000</v>
          </cell>
          <cell r="J349">
            <v>0</v>
          </cell>
          <cell r="K349">
            <v>0</v>
          </cell>
          <cell r="L349">
            <v>0</v>
          </cell>
        </row>
        <row r="350">
          <cell r="B350" t="str">
            <v>EVAN34AC</v>
          </cell>
          <cell r="C350" t="str">
            <v>Evan Jaya, UD</v>
          </cell>
          <cell r="D350" t="str">
            <v>Buhari</v>
          </cell>
          <cell r="E350" t="str">
            <v>Tanjung Baru, RT.007/RW.004, Kel. Tangga Baru, Kec. Monta</v>
          </cell>
          <cell r="F350" t="str">
            <v>Bima</v>
          </cell>
          <cell r="G350" t="str">
            <v>5206010107821277</v>
          </cell>
          <cell r="H350" t="str">
            <v>000000000000000</v>
          </cell>
          <cell r="J350">
            <v>0</v>
          </cell>
          <cell r="K350">
            <v>0</v>
          </cell>
          <cell r="L350">
            <v>0</v>
          </cell>
        </row>
        <row r="351">
          <cell r="B351" t="str">
            <v>EVAN35AC</v>
          </cell>
          <cell r="C351" t="str">
            <v>Evan Jaya, UD</v>
          </cell>
          <cell r="D351" t="str">
            <v>A. Gani</v>
          </cell>
          <cell r="E351" t="str">
            <v>Jln. Tente Karumbu, RT.002/RW.005, Kel. Ncera, Kec. Belo</v>
          </cell>
          <cell r="F351" t="str">
            <v>Bima</v>
          </cell>
          <cell r="G351" t="str">
            <v>5206045012760003</v>
          </cell>
          <cell r="H351" t="str">
            <v>000000000000000</v>
          </cell>
          <cell r="J351">
            <v>0</v>
          </cell>
          <cell r="K351">
            <v>0</v>
          </cell>
          <cell r="L351">
            <v>0</v>
          </cell>
        </row>
        <row r="352">
          <cell r="B352" t="str">
            <v>EVAN36AC</v>
          </cell>
          <cell r="C352" t="str">
            <v>Evan Jaya, UD</v>
          </cell>
          <cell r="D352" t="str">
            <v>Hamdiah</v>
          </cell>
          <cell r="E352" t="str">
            <v>Jln. Lintas Tente Karumbu, RT.001/RW.008, Kel. Ncera, Kec. Belo</v>
          </cell>
          <cell r="F352" t="str">
            <v>Bima</v>
          </cell>
          <cell r="G352" t="str">
            <v>5206040107601147</v>
          </cell>
          <cell r="H352" t="str">
            <v>000000000000000</v>
          </cell>
          <cell r="J352">
            <v>0</v>
          </cell>
          <cell r="K352">
            <v>0</v>
          </cell>
          <cell r="L352">
            <v>0</v>
          </cell>
        </row>
        <row r="353">
          <cell r="B353" t="str">
            <v>EVAN37AC</v>
          </cell>
          <cell r="C353" t="str">
            <v>Evan Jaya, UD</v>
          </cell>
          <cell r="D353" t="str">
            <v>Abdul Kadir</v>
          </cell>
          <cell r="E353" t="str">
            <v>Jln. Lintas Tente Karumbu, RT.015/RW.007, Kel. Ncera, Kec. Belo</v>
          </cell>
          <cell r="F353" t="str">
            <v>Bima</v>
          </cell>
          <cell r="G353" t="str">
            <v>5206042007891009</v>
          </cell>
          <cell r="H353" t="str">
            <v>000000000000000</v>
          </cell>
          <cell r="J353">
            <v>0</v>
          </cell>
          <cell r="K353">
            <v>0</v>
          </cell>
          <cell r="L353">
            <v>0</v>
          </cell>
        </row>
        <row r="354">
          <cell r="B354" t="str">
            <v>EVAN38AC</v>
          </cell>
          <cell r="C354" t="str">
            <v>Evan Jaya, UD</v>
          </cell>
          <cell r="D354" t="str">
            <v>Suhendi</v>
          </cell>
          <cell r="E354" t="str">
            <v>Dusun Telaga Renda, RT.002/Rw.001, Kel. Renda, Kec. Belo</v>
          </cell>
          <cell r="F354" t="str">
            <v>Bima</v>
          </cell>
          <cell r="G354" t="str">
            <v>5206041607851003</v>
          </cell>
          <cell r="H354" t="str">
            <v>000000000000000</v>
          </cell>
          <cell r="J354">
            <v>0</v>
          </cell>
          <cell r="K354">
            <v>0</v>
          </cell>
          <cell r="L354">
            <v>0</v>
          </cell>
        </row>
        <row r="355">
          <cell r="B355" t="str">
            <v>EVAN39AC</v>
          </cell>
          <cell r="C355" t="str">
            <v>Evan Jaya, UD</v>
          </cell>
          <cell r="D355" t="str">
            <v>Syafruddin</v>
          </cell>
          <cell r="E355" t="str">
            <v>Ngali, RT.012/RW.000, Kel. Ngali, Kec. Belo</v>
          </cell>
          <cell r="F355" t="str">
            <v>Bima</v>
          </cell>
          <cell r="G355" t="str">
            <v>5206043112700046</v>
          </cell>
          <cell r="H355" t="str">
            <v>000000000000000</v>
          </cell>
          <cell r="J355">
            <v>0</v>
          </cell>
          <cell r="K355">
            <v>0</v>
          </cell>
          <cell r="L355">
            <v>0</v>
          </cell>
        </row>
        <row r="356">
          <cell r="B356" t="str">
            <v>EVAN40AC</v>
          </cell>
          <cell r="C356" t="str">
            <v>Evan Jaya, UD</v>
          </cell>
          <cell r="D356" t="str">
            <v>Heri Santoso</v>
          </cell>
          <cell r="E356" t="str">
            <v>Dusun Bewakalea, RT.005/RW.002, Kel. Soki, Kec. Belo</v>
          </cell>
          <cell r="F356" t="str">
            <v>Bima</v>
          </cell>
          <cell r="G356" t="str">
            <v>5206041604931004</v>
          </cell>
          <cell r="H356" t="str">
            <v>000000000000000</v>
          </cell>
          <cell r="J356">
            <v>0</v>
          </cell>
          <cell r="K356">
            <v>0</v>
          </cell>
          <cell r="L356">
            <v>0</v>
          </cell>
        </row>
        <row r="357">
          <cell r="B357" t="str">
            <v>EVAN41AC</v>
          </cell>
          <cell r="C357" t="str">
            <v>Evan Jaya, UD</v>
          </cell>
          <cell r="D357" t="str">
            <v>Jakariah</v>
          </cell>
          <cell r="E357" t="str">
            <v>Desa Ncera, RT.002/RW.002, Kel. Ncera, Kec. Belo</v>
          </cell>
          <cell r="F357" t="str">
            <v>Bima</v>
          </cell>
          <cell r="G357" t="str">
            <v>5206043112590019</v>
          </cell>
          <cell r="H357" t="str">
            <v>000000000000000</v>
          </cell>
          <cell r="J357">
            <v>0</v>
          </cell>
          <cell r="K357">
            <v>0</v>
          </cell>
          <cell r="L357">
            <v>0</v>
          </cell>
        </row>
        <row r="358">
          <cell r="B358" t="str">
            <v>EVAN42AC</v>
          </cell>
          <cell r="C358" t="str">
            <v>Evan Jaya, UD</v>
          </cell>
          <cell r="D358" t="str">
            <v>Sudirman</v>
          </cell>
          <cell r="E358" t="str">
            <v>Diha, RT.003/RW.002, Kel. Diha, Kec. Belo</v>
          </cell>
          <cell r="F358" t="str">
            <v>Bima</v>
          </cell>
          <cell r="G358" t="str">
            <v>5206042809910001</v>
          </cell>
          <cell r="H358" t="str">
            <v>000000000000000</v>
          </cell>
          <cell r="J358">
            <v>0</v>
          </cell>
          <cell r="K358">
            <v>0</v>
          </cell>
          <cell r="L358">
            <v>0</v>
          </cell>
        </row>
        <row r="359">
          <cell r="B359" t="str">
            <v>EVAN43AC</v>
          </cell>
          <cell r="C359" t="str">
            <v>Evan Jaya, UD</v>
          </cell>
          <cell r="D359" t="str">
            <v>Irwan</v>
          </cell>
          <cell r="E359" t="str">
            <v>Dusun Nari, RT.009/RW.005, Kel. Naru, Kec. Sape</v>
          </cell>
          <cell r="F359" t="str">
            <v>Bima</v>
          </cell>
          <cell r="G359" t="str">
            <v>5206062005740002</v>
          </cell>
          <cell r="H359" t="str">
            <v>000000000000000</v>
          </cell>
          <cell r="J359">
            <v>0</v>
          </cell>
          <cell r="K359">
            <v>0</v>
          </cell>
          <cell r="L359">
            <v>0</v>
          </cell>
        </row>
        <row r="360">
          <cell r="B360" t="str">
            <v>EVAN44AC</v>
          </cell>
          <cell r="C360" t="str">
            <v>Evan Jaya, UD</v>
          </cell>
          <cell r="D360" t="str">
            <v>Ediansyah</v>
          </cell>
          <cell r="E360" t="str">
            <v>Dusun Nggaro Tire, RT.006/ RW.003, Kel. Diha, Kec. Belo</v>
          </cell>
          <cell r="F360" t="str">
            <v>Bima</v>
          </cell>
          <cell r="G360" t="str">
            <v>5206041812860001</v>
          </cell>
          <cell r="H360" t="str">
            <v>000000000000000</v>
          </cell>
          <cell r="J360">
            <v>0</v>
          </cell>
          <cell r="K360">
            <v>0</v>
          </cell>
          <cell r="L360">
            <v>0</v>
          </cell>
        </row>
        <row r="361">
          <cell r="B361" t="str">
            <v>EVAN45AC</v>
          </cell>
          <cell r="C361" t="str">
            <v>Evan Jaya, UD</v>
          </cell>
          <cell r="D361" t="str">
            <v>Hasan</v>
          </cell>
          <cell r="E361" t="str">
            <v>Tanjung Baru, RT.009/RW.004, Kel. Tangga Baru, Kec. Monta</v>
          </cell>
          <cell r="F361" t="str">
            <v>Bima</v>
          </cell>
          <cell r="G361" t="str">
            <v>5206010507791003</v>
          </cell>
          <cell r="H361" t="str">
            <v>000000000000000</v>
          </cell>
          <cell r="J361">
            <v>0</v>
          </cell>
          <cell r="K361">
            <v>0</v>
          </cell>
          <cell r="L361">
            <v>0</v>
          </cell>
        </row>
        <row r="362">
          <cell r="B362" t="str">
            <v>EVAN46AC</v>
          </cell>
          <cell r="C362" t="str">
            <v>Evan Jaya, UD</v>
          </cell>
          <cell r="D362" t="str">
            <v>Yasin</v>
          </cell>
          <cell r="E362" t="str">
            <v>Dusun Oi Kalate, RT.007/RW.003, Kel. Soki, Kec. Belo</v>
          </cell>
          <cell r="F362" t="str">
            <v>Bima</v>
          </cell>
          <cell r="G362" t="str">
            <v>5206040107921197</v>
          </cell>
          <cell r="H362" t="str">
            <v>000000000000000</v>
          </cell>
          <cell r="J362">
            <v>0</v>
          </cell>
          <cell r="K362">
            <v>0</v>
          </cell>
          <cell r="L362">
            <v>0</v>
          </cell>
        </row>
        <row r="363">
          <cell r="B363" t="str">
            <v>EVAN47AC</v>
          </cell>
          <cell r="C363" t="str">
            <v>Evan Jaya, UD</v>
          </cell>
          <cell r="D363" t="str">
            <v>Aminudin</v>
          </cell>
          <cell r="E363" t="str">
            <v>Jl. Lintas Tente Karumbu, RT.001/RW.001, Kel. Ncera, Kec. Belo</v>
          </cell>
          <cell r="F363" t="str">
            <v>Bima</v>
          </cell>
          <cell r="G363" t="str">
            <v>5206040605710001</v>
          </cell>
          <cell r="H363" t="str">
            <v>000000000000000</v>
          </cell>
          <cell r="J363">
            <v>0</v>
          </cell>
          <cell r="K363">
            <v>0</v>
          </cell>
          <cell r="L363">
            <v>0</v>
          </cell>
        </row>
        <row r="364">
          <cell r="B364" t="str">
            <v>EVAN48AC</v>
          </cell>
          <cell r="C364" t="str">
            <v>Evan Jaya, UD</v>
          </cell>
          <cell r="D364" t="str">
            <v>Husni</v>
          </cell>
          <cell r="E364" t="str">
            <v>Tangga Baru, RT.008/RW.005, Kel. Tangga Baru, Kec. Monta</v>
          </cell>
          <cell r="F364" t="str">
            <v>Bima</v>
          </cell>
          <cell r="G364" t="str">
            <v>5206010107601246</v>
          </cell>
          <cell r="H364" t="str">
            <v>000000000000000</v>
          </cell>
          <cell r="J364">
            <v>0</v>
          </cell>
          <cell r="K364">
            <v>0</v>
          </cell>
          <cell r="L364">
            <v>0</v>
          </cell>
        </row>
        <row r="365">
          <cell r="B365" t="str">
            <v>FAJA01AC</v>
          </cell>
          <cell r="C365" t="str">
            <v>Fajar Tani Muliya/Ibnu</v>
          </cell>
          <cell r="D365" t="str">
            <v>Sunyoto</v>
          </cell>
          <cell r="E365" t="str">
            <v>Dsn. Logawe RT.003/RW.006, Kel. Sawahan, Kec. Rengel</v>
          </cell>
          <cell r="F365" t="str">
            <v>Tuban</v>
          </cell>
          <cell r="G365" t="str">
            <v>3523141603840003</v>
          </cell>
          <cell r="H365" t="str">
            <v>000000000000000</v>
          </cell>
          <cell r="I365" t="str">
            <v>Permintaan Kios sementara Jangan di pakai dl, pakai yg banyuwangi saja</v>
          </cell>
          <cell r="J365">
            <v>0</v>
          </cell>
          <cell r="K365">
            <v>0</v>
          </cell>
          <cell r="L365">
            <v>0</v>
          </cell>
        </row>
        <row r="366">
          <cell r="B366" t="str">
            <v>FAJA03AC</v>
          </cell>
          <cell r="C366" t="str">
            <v>Fajar Tani Muliya/Ibnu</v>
          </cell>
          <cell r="D366" t="str">
            <v>Andre Herdian Putra</v>
          </cell>
          <cell r="E366" t="str">
            <v>Jl. Veteran GG. Sawah, RT.001/RW.001, Kel. Brangkal, Kec. Parengan</v>
          </cell>
          <cell r="F366" t="str">
            <v>Tuban</v>
          </cell>
          <cell r="G366" t="str">
            <v>3578141609960002</v>
          </cell>
          <cell r="H366" t="str">
            <v>000000000000000</v>
          </cell>
          <cell r="I366" t="str">
            <v>Permintaan Kios sementara Jangan di pakai dl, pakai yg banyuwangi saja</v>
          </cell>
          <cell r="J366">
            <v>0</v>
          </cell>
          <cell r="K366">
            <v>0</v>
          </cell>
          <cell r="L366">
            <v>0</v>
          </cell>
        </row>
        <row r="367">
          <cell r="B367" t="str">
            <v>FAJA04AC</v>
          </cell>
          <cell r="C367" t="str">
            <v>Fajar Tani Muliya/Ibnu</v>
          </cell>
          <cell r="D367" t="str">
            <v>Yanuarizki M. Nur</v>
          </cell>
          <cell r="E367" t="str">
            <v>Karang Mrnjangan 5/24, RT.005/RW.007, Kel. Mojo, Kec. Gubeng</v>
          </cell>
          <cell r="F367" t="str">
            <v>Surabaya</v>
          </cell>
          <cell r="G367" t="str">
            <v>3578080101880001</v>
          </cell>
          <cell r="H367" t="str">
            <v>000000000000000</v>
          </cell>
          <cell r="I367" t="str">
            <v>Permintaan Kios sementara Jangan di pakai dl, pakai yg banyuwangi saja</v>
          </cell>
          <cell r="J367">
            <v>0</v>
          </cell>
          <cell r="K367">
            <v>0</v>
          </cell>
          <cell r="L367">
            <v>0</v>
          </cell>
        </row>
        <row r="368">
          <cell r="B368" t="str">
            <v>FAJA05AC</v>
          </cell>
          <cell r="C368" t="str">
            <v>Fajar Tani Muliya/Ibnu</v>
          </cell>
          <cell r="D368" t="str">
            <v>Hendrik Prastiyo</v>
          </cell>
          <cell r="E368" t="str">
            <v>Dusun Tegal Boro, RT.011/RW.002, Kel. Pacing, Kec. Parengan</v>
          </cell>
          <cell r="F368" t="str">
            <v>Tuban</v>
          </cell>
          <cell r="G368" t="str">
            <v>3523092808990002</v>
          </cell>
          <cell r="H368" t="str">
            <v>000000000000000</v>
          </cell>
          <cell r="I368" t="str">
            <v>Permintaan Kios sementara Jangan di pakai dl, pakai yg banyuwangi saja</v>
          </cell>
          <cell r="J368">
            <v>0</v>
          </cell>
          <cell r="K368">
            <v>0</v>
          </cell>
          <cell r="L368">
            <v>0</v>
          </cell>
        </row>
        <row r="369">
          <cell r="B369" t="str">
            <v>FAJA06AC</v>
          </cell>
          <cell r="C369" t="str">
            <v>Fajar Tani Muliya/Ibnu</v>
          </cell>
          <cell r="D369" t="str">
            <v>Hadi Suparjo</v>
          </cell>
          <cell r="E369" t="str">
            <v>Pungpungan, RT.005/RW.001, Kel. Pungpungan, Kec. Kalitudu</v>
          </cell>
          <cell r="F369" t="str">
            <v>Bojonegoro</v>
          </cell>
          <cell r="G369" t="str">
            <v>3522161502700003</v>
          </cell>
          <cell r="H369" t="str">
            <v>000000000000000</v>
          </cell>
          <cell r="I369" t="str">
            <v>Permintaan Kios sementara Jangan di pakai dl, pakai yg banyuwangi saja</v>
          </cell>
          <cell r="J369">
            <v>0</v>
          </cell>
          <cell r="K369">
            <v>0</v>
          </cell>
          <cell r="L369">
            <v>0</v>
          </cell>
        </row>
        <row r="370">
          <cell r="B370" t="str">
            <v>FAJA07AC</v>
          </cell>
          <cell r="C370" t="str">
            <v>Fajar Tani Muliya/Ibnu</v>
          </cell>
          <cell r="D370" t="str">
            <v>Siehab</v>
          </cell>
          <cell r="E370" t="str">
            <v>Dsn. Purboyo mayang Sekar, RT.002/RW.007, Kel. Rengel, Kec. Rengel</v>
          </cell>
          <cell r="F370" t="str">
            <v>Tuban</v>
          </cell>
          <cell r="G370" t="str">
            <v>3523142404630003</v>
          </cell>
          <cell r="H370" t="str">
            <v>000000000000000</v>
          </cell>
          <cell r="I370" t="str">
            <v>Permintaan Kios sementara Jangan di pakai dl, pakai yg banyuwangi saja</v>
          </cell>
          <cell r="J370">
            <v>0</v>
          </cell>
          <cell r="K370">
            <v>0</v>
          </cell>
          <cell r="L370">
            <v>0</v>
          </cell>
        </row>
        <row r="371">
          <cell r="B371" t="str">
            <v>FAJA08AC</v>
          </cell>
          <cell r="C371" t="str">
            <v>Fajar Tani Muliya/Ibnu</v>
          </cell>
          <cell r="D371" t="str">
            <v>Iswandi</v>
          </cell>
          <cell r="E371" t="str">
            <v>Dsn. Sarirejo, RT.004/RW.005, Kel. Rahayu, Kec. Soko</v>
          </cell>
          <cell r="F371" t="str">
            <v>Tuban</v>
          </cell>
          <cell r="G371" t="str">
            <v>3523110107750050</v>
          </cell>
          <cell r="H371" t="str">
            <v>000000000000000</v>
          </cell>
          <cell r="I371" t="str">
            <v>Permintaan Kios sementara Jangan di pakai dl, pakai yg banyuwangi saja</v>
          </cell>
          <cell r="J371">
            <v>0</v>
          </cell>
          <cell r="K371">
            <v>0</v>
          </cell>
          <cell r="L371">
            <v>0</v>
          </cell>
        </row>
        <row r="372">
          <cell r="B372" t="str">
            <v>FAJA09AC</v>
          </cell>
          <cell r="C372" t="str">
            <v>Fajar Tani Muliya/Ibnu</v>
          </cell>
          <cell r="D372" t="str">
            <v>Wiji</v>
          </cell>
          <cell r="E372" t="str">
            <v>Dsn. Logawe RT.003/RW.006, Kel. Sawahan, Kec. Rengel</v>
          </cell>
          <cell r="F372" t="str">
            <v>Tuban</v>
          </cell>
          <cell r="G372" t="str">
            <v>3523142507770002</v>
          </cell>
          <cell r="H372" t="str">
            <v>000000000000000</v>
          </cell>
          <cell r="I372" t="str">
            <v>Permintaan Kios sementara Jangan di pakai dl, pakai yg banyuwangi saja</v>
          </cell>
          <cell r="J372">
            <v>0</v>
          </cell>
          <cell r="K372">
            <v>0</v>
          </cell>
          <cell r="L372">
            <v>0</v>
          </cell>
        </row>
        <row r="373">
          <cell r="B373" t="str">
            <v>FAJA10AC</v>
          </cell>
          <cell r="C373" t="str">
            <v>Fajar Tani Muliya/Ibnu</v>
          </cell>
          <cell r="D373" t="str">
            <v>Siti Mutmainah</v>
          </cell>
          <cell r="E373" t="str">
            <v>Dsn. Tegalboro, RT.011/RW.002, Kel. Pacing, Kec. Parengan</v>
          </cell>
          <cell r="F373" t="str">
            <v>Tuban</v>
          </cell>
          <cell r="G373" t="str">
            <v>3523096011020001</v>
          </cell>
          <cell r="H373" t="str">
            <v>000000000000000</v>
          </cell>
          <cell r="I373" t="str">
            <v>Permintaan Kios sementara Jangan di pakai dl, pakai yg banyuwangi saja</v>
          </cell>
          <cell r="J373">
            <v>0</v>
          </cell>
          <cell r="K373">
            <v>0</v>
          </cell>
          <cell r="L373">
            <v>0</v>
          </cell>
        </row>
        <row r="374">
          <cell r="B374" t="str">
            <v>FAJA11AC</v>
          </cell>
          <cell r="C374" t="str">
            <v>Fajar Tani Muliya/Ibnu</v>
          </cell>
          <cell r="D374" t="str">
            <v>Siti Novita W</v>
          </cell>
          <cell r="E374" t="str">
            <v>Dsn. Krasaan RT.003/RW.001, Kel. Kumpulrejo, Kec. Parengan</v>
          </cell>
          <cell r="F374" t="str">
            <v>Tuban</v>
          </cell>
          <cell r="G374" t="str">
            <v>3523094907000002</v>
          </cell>
          <cell r="H374" t="str">
            <v>000000000000000</v>
          </cell>
          <cell r="I374" t="str">
            <v>Permintaan Kios sementara Jangan di pakai dl, pakai yg banyuwangi saja</v>
          </cell>
          <cell r="J374">
            <v>0</v>
          </cell>
          <cell r="K374">
            <v>0</v>
          </cell>
          <cell r="L374">
            <v>0</v>
          </cell>
        </row>
        <row r="375">
          <cell r="B375" t="str">
            <v>FAJA12AC</v>
          </cell>
          <cell r="C375" t="str">
            <v>Fajar Tani Muliya/Ibnu</v>
          </cell>
          <cell r="D375" t="str">
            <v>Sundari</v>
          </cell>
          <cell r="E375" t="str">
            <v>Jl. Veteran GG. Sawah RT.001/RW.001, Kel. Brangkal, Kec. Parengan</v>
          </cell>
          <cell r="F375" t="str">
            <v>Tuban</v>
          </cell>
          <cell r="G375" t="str">
            <v>3523095509960003</v>
          </cell>
          <cell r="H375" t="str">
            <v>000000000000000</v>
          </cell>
          <cell r="I375" t="str">
            <v>Permintaan Kios sementara Jangan di pakai dl, pakai yg banyuwangi saja</v>
          </cell>
          <cell r="J375">
            <v>0</v>
          </cell>
          <cell r="K375">
            <v>0</v>
          </cell>
          <cell r="L375">
            <v>0</v>
          </cell>
        </row>
        <row r="376">
          <cell r="B376" t="str">
            <v>FAJA13AC</v>
          </cell>
          <cell r="C376" t="str">
            <v>Fajar Tani Muliya/Ibnu</v>
          </cell>
          <cell r="D376" t="str">
            <v>Sarmucin</v>
          </cell>
          <cell r="E376" t="str">
            <v>Dusun Secang, RT.010/RW.001, Kel. Ngandong, Kec. Grabagan</v>
          </cell>
          <cell r="F376" t="str">
            <v>Tuban</v>
          </cell>
          <cell r="G376" t="str">
            <v>3523204604770002</v>
          </cell>
          <cell r="H376" t="str">
            <v>000000000000000</v>
          </cell>
          <cell r="I376" t="str">
            <v>Permintaan Kios sementara Jangan di pakai dl, pakai yg banyuwangi saja</v>
          </cell>
          <cell r="J376">
            <v>0</v>
          </cell>
          <cell r="K376">
            <v>0</v>
          </cell>
          <cell r="L376">
            <v>0</v>
          </cell>
        </row>
        <row r="377">
          <cell r="B377" t="str">
            <v>FAJA14AC</v>
          </cell>
          <cell r="C377" t="str">
            <v>Fajar Tani Muliya/Ibnu</v>
          </cell>
          <cell r="D377" t="str">
            <v>Kurdi</v>
          </cell>
          <cell r="E377" t="str">
            <v>Dsn Sambungrejo, RT.002/RW.002, Kel. Wukirharjo, Kec. Parengan</v>
          </cell>
          <cell r="F377" t="str">
            <v>Tuban</v>
          </cell>
          <cell r="G377" t="str">
            <v>3523090509600001</v>
          </cell>
          <cell r="H377" t="str">
            <v>000000000000000</v>
          </cell>
          <cell r="I377" t="str">
            <v>Permintaan Kios sementara Jangan di pakai dl, pakai yg banyuwangi saja</v>
          </cell>
          <cell r="J377">
            <v>0</v>
          </cell>
          <cell r="K377">
            <v>0</v>
          </cell>
          <cell r="L377">
            <v>0</v>
          </cell>
        </row>
        <row r="378">
          <cell r="B378" t="str">
            <v>FAJA15AC</v>
          </cell>
          <cell r="C378" t="str">
            <v>Fajar Tani Muliya/Ibnu</v>
          </cell>
          <cell r="D378" t="str">
            <v>Yahman</v>
          </cell>
          <cell r="E378" t="str">
            <v>Dsn Sambungrejo, RT.003/RW.002, Kel. Wukirharjo, Kec. Parengan</v>
          </cell>
          <cell r="F378" t="str">
            <v>Tuban</v>
          </cell>
          <cell r="G378" t="str">
            <v>3523090710610001</v>
          </cell>
          <cell r="H378" t="str">
            <v>000000000000000</v>
          </cell>
          <cell r="I378" t="str">
            <v>Permintaan Kios sementara Jangan di pakai dl, pakai yg banyuwangi saja</v>
          </cell>
          <cell r="J378">
            <v>0</v>
          </cell>
          <cell r="K378">
            <v>0</v>
          </cell>
          <cell r="L378">
            <v>0</v>
          </cell>
        </row>
        <row r="379">
          <cell r="B379" t="str">
            <v>FAJA16AC</v>
          </cell>
          <cell r="C379" t="str">
            <v>Fajar Tani Muliya/Ibnu</v>
          </cell>
          <cell r="D379" t="str">
            <v>Munadi</v>
          </cell>
          <cell r="E379" t="str">
            <v>Dsn. Krasaan RT.003/RW.001, Kel. Kumpulrejo, Kec. Parengan</v>
          </cell>
          <cell r="F379" t="str">
            <v>Tuban</v>
          </cell>
          <cell r="G379" t="str">
            <v>3523091102760002</v>
          </cell>
          <cell r="H379" t="str">
            <v>000000000000000</v>
          </cell>
          <cell r="I379" t="str">
            <v>Permintaan Kios sementara Jangan di pakai dl, pakai yg banyuwangi saja</v>
          </cell>
          <cell r="J379">
            <v>0</v>
          </cell>
          <cell r="K379">
            <v>0</v>
          </cell>
          <cell r="L379">
            <v>0</v>
          </cell>
        </row>
        <row r="380">
          <cell r="B380" t="str">
            <v>FAJA17AC</v>
          </cell>
          <cell r="C380" t="str">
            <v>Fajar Tani Muliya/Ibnu</v>
          </cell>
          <cell r="D380" t="str">
            <v>Edi Susanto</v>
          </cell>
          <cell r="E380" t="str">
            <v>Dusun Temor Leke, RT.003/RW.001, Kel. Saroka, Kec. Saronggi</v>
          </cell>
          <cell r="F380" t="str">
            <v>Sumenep</v>
          </cell>
          <cell r="G380" t="str">
            <v>3172060406600001</v>
          </cell>
          <cell r="H380" t="str">
            <v>000000000000000</v>
          </cell>
          <cell r="I380" t="str">
            <v>Permintaan Kios sementara Jangan di pakai dl, pakai yg banyuwangi saja</v>
          </cell>
          <cell r="J380">
            <v>0</v>
          </cell>
          <cell r="K380">
            <v>0</v>
          </cell>
          <cell r="L380">
            <v>0</v>
          </cell>
        </row>
        <row r="381">
          <cell r="B381" t="str">
            <v>FAJA18AC</v>
          </cell>
          <cell r="C381" t="str">
            <v>Fajar Tani Muliya/Ibnu</v>
          </cell>
          <cell r="D381" t="str">
            <v>Rudi Hartono</v>
          </cell>
          <cell r="E381" t="str">
            <v>Dusun Temor Leke, RT.004/RW.001, Kel. Saroka, Kec. Saronggi</v>
          </cell>
          <cell r="F381" t="str">
            <v>Sumenep</v>
          </cell>
          <cell r="G381" t="str">
            <v>3529061901830002</v>
          </cell>
          <cell r="H381" t="str">
            <v>000000000000000</v>
          </cell>
          <cell r="I381" t="str">
            <v>Permintaan Kios sementara Jangan di pakai dl, pakai yg banyuwangi saja</v>
          </cell>
          <cell r="J381">
            <v>0</v>
          </cell>
          <cell r="K381">
            <v>0</v>
          </cell>
          <cell r="L381">
            <v>0</v>
          </cell>
        </row>
        <row r="382">
          <cell r="B382" t="str">
            <v>FAJA19AC</v>
          </cell>
          <cell r="C382" t="str">
            <v>Fajar Tani Muliya/Ibnu</v>
          </cell>
          <cell r="D382" t="str">
            <v>Sudariyanti</v>
          </cell>
          <cell r="E382" t="str">
            <v>Dsn. Randu Pagir, RT.012/RW.006, Kel. Pekuwon, Kec. Rengel</v>
          </cell>
          <cell r="F382" t="str">
            <v>Tuban</v>
          </cell>
          <cell r="G382" t="str">
            <v>3523146412900003</v>
          </cell>
          <cell r="H382" t="str">
            <v>000000000000000</v>
          </cell>
          <cell r="I382" t="str">
            <v>Permintaan Kios sementara Jangan di pakai dl, pakai yg banyuwangi saja</v>
          </cell>
          <cell r="J382">
            <v>0</v>
          </cell>
          <cell r="K382">
            <v>0</v>
          </cell>
          <cell r="L382">
            <v>0</v>
          </cell>
        </row>
        <row r="383">
          <cell r="B383" t="str">
            <v>FAJA20AC</v>
          </cell>
          <cell r="C383" t="str">
            <v>Fajar Tani Muliya/Ibnu</v>
          </cell>
          <cell r="D383" t="str">
            <v>Ngadiyem</v>
          </cell>
          <cell r="E383" t="str">
            <v>Dsn. Awu-awu RT.002/RW.003, Kel. Temuasri, Kec. Sempu</v>
          </cell>
          <cell r="F383" t="str">
            <v>Banyuwangi</v>
          </cell>
          <cell r="G383" t="str">
            <v>3510207112510002</v>
          </cell>
          <cell r="H383" t="str">
            <v>000000000000000</v>
          </cell>
          <cell r="I383" t="str">
            <v>minta di abawah 100 jt an</v>
          </cell>
          <cell r="J383">
            <v>0</v>
          </cell>
          <cell r="K383">
            <v>0</v>
          </cell>
          <cell r="L383">
            <v>0</v>
          </cell>
        </row>
        <row r="384">
          <cell r="B384" t="str">
            <v>FAJA21AC</v>
          </cell>
          <cell r="C384" t="str">
            <v>Fajar Tani Muliya/Ibnu</v>
          </cell>
          <cell r="D384" t="str">
            <v>Poniyem</v>
          </cell>
          <cell r="E384" t="str">
            <v>Dusun Bloksolo, RT.002/RW.003, Kel. Sumbersari, Kec. Purwoharjo</v>
          </cell>
          <cell r="F384" t="str">
            <v>Banyuwangi</v>
          </cell>
          <cell r="G384" t="str">
            <v>3510035201600008</v>
          </cell>
          <cell r="H384" t="str">
            <v>000000000000000</v>
          </cell>
          <cell r="I384" t="str">
            <v>minta di abawah 100 jt an</v>
          </cell>
          <cell r="J384">
            <v>0</v>
          </cell>
          <cell r="K384">
            <v>0</v>
          </cell>
          <cell r="L384">
            <v>0</v>
          </cell>
        </row>
        <row r="385">
          <cell r="B385" t="str">
            <v>FAJA23AC</v>
          </cell>
          <cell r="C385" t="str">
            <v>Fajar Tani Muliya/Ibnu</v>
          </cell>
          <cell r="D385" t="str">
            <v>Dilla Martasya Anggara</v>
          </cell>
          <cell r="E385" t="str">
            <v>Dsn. Ringinsari, RT.002/RW.002, Kel. Pesanggaran, Kec. Pesanggaran</v>
          </cell>
          <cell r="F385" t="str">
            <v>Banyuwangi</v>
          </cell>
          <cell r="G385" t="str">
            <v>3510015903020001</v>
          </cell>
          <cell r="H385" t="str">
            <v>000000000000000</v>
          </cell>
          <cell r="I385" t="str">
            <v>minta di abawah 100 jt an</v>
          </cell>
          <cell r="J385">
            <v>0</v>
          </cell>
          <cell r="K385">
            <v>0</v>
          </cell>
          <cell r="L385">
            <v>0</v>
          </cell>
        </row>
        <row r="386">
          <cell r="B386" t="str">
            <v>FAJA24AC</v>
          </cell>
          <cell r="C386" t="str">
            <v>Fajar Tani Muliya/Ibnu</v>
          </cell>
          <cell r="D386" t="str">
            <v>Hendrawan Cahyo Nugroho</v>
          </cell>
          <cell r="E386" t="str">
            <v>Dsn. Tegalpakis, RT.003/RW.002, Kel. Kalibaru Wetan, Kec. Kalibaru</v>
          </cell>
          <cell r="F386" t="str">
            <v>Banyuwangi</v>
          </cell>
          <cell r="G386" t="str">
            <v>3510111507740007</v>
          </cell>
          <cell r="H386" t="str">
            <v>000000000000000</v>
          </cell>
          <cell r="J386">
            <v>0</v>
          </cell>
          <cell r="K386">
            <v>0</v>
          </cell>
          <cell r="L386">
            <v>0</v>
          </cell>
        </row>
        <row r="387">
          <cell r="B387" t="str">
            <v>FAJA25AC</v>
          </cell>
          <cell r="C387" t="str">
            <v>Fajar Tani Muliya/Ibnu</v>
          </cell>
          <cell r="D387" t="str">
            <v>Yosi Kurniawan</v>
          </cell>
          <cell r="E387" t="str">
            <v>Jl. Musi GG Mawar, No. 62, RT.001/RW.002, Kel. Penganjuran, Kec. Banyuwangi</v>
          </cell>
          <cell r="F387" t="str">
            <v>Banyuwangi</v>
          </cell>
          <cell r="G387" t="str">
            <v>3510160408830004</v>
          </cell>
          <cell r="H387" t="str">
            <v>000000000000000</v>
          </cell>
          <cell r="J387">
            <v>0</v>
          </cell>
          <cell r="K387">
            <v>0</v>
          </cell>
          <cell r="L387">
            <v>0</v>
          </cell>
        </row>
        <row r="388">
          <cell r="B388" t="str">
            <v>FAJA26AC</v>
          </cell>
          <cell r="C388" t="str">
            <v>Fajar Tani Muliya/Ibnu</v>
          </cell>
          <cell r="D388" t="str">
            <v>Muhlisin</v>
          </cell>
          <cell r="E388" t="str">
            <v>Dusun Tamansari, RT.001/RW.001, Kel. Pendarungan, Kec. Kabat</v>
          </cell>
          <cell r="F388" t="str">
            <v>Banyuwangi</v>
          </cell>
          <cell r="G388" t="str">
            <v>3510141709810006</v>
          </cell>
          <cell r="H388" t="str">
            <v>000000000000000</v>
          </cell>
          <cell r="J388">
            <v>0</v>
          </cell>
          <cell r="K388">
            <v>0</v>
          </cell>
          <cell r="L388">
            <v>0</v>
          </cell>
        </row>
        <row r="389">
          <cell r="B389" t="str">
            <v>FAJA27AC</v>
          </cell>
          <cell r="C389" t="str">
            <v>Fajar Tani Muliya/Ibnu</v>
          </cell>
          <cell r="D389" t="str">
            <v>Febri Yuliyanti</v>
          </cell>
          <cell r="E389" t="str">
            <v>Dusun Krajan, RT.004/RW.004, Kel. Kedayunan, Kec. Kabat</v>
          </cell>
          <cell r="F389" t="str">
            <v>Banyuwangi</v>
          </cell>
          <cell r="G389" t="str">
            <v>3510144702010001</v>
          </cell>
          <cell r="H389" t="str">
            <v>000000000000000</v>
          </cell>
          <cell r="J389">
            <v>0</v>
          </cell>
          <cell r="K389">
            <v>0</v>
          </cell>
          <cell r="L389">
            <v>0</v>
          </cell>
        </row>
        <row r="390">
          <cell r="B390" t="str">
            <v>FAJA28AC</v>
          </cell>
          <cell r="C390" t="str">
            <v>Fajar Tani Muliya/Ibnu</v>
          </cell>
          <cell r="D390" t="str">
            <v>Reviatul Rohma</v>
          </cell>
          <cell r="E390" t="str">
            <v>Dusun Krajan, RT.001/RW.008, Kel. Pakistaji, Kec. Kabat</v>
          </cell>
          <cell r="F390" t="str">
            <v>Banyuwangi</v>
          </cell>
          <cell r="G390" t="str">
            <v>3510054602030004</v>
          </cell>
          <cell r="H390" t="str">
            <v>000000000000000</v>
          </cell>
          <cell r="J390">
            <v>0</v>
          </cell>
          <cell r="K390">
            <v>0</v>
          </cell>
          <cell r="L390">
            <v>0</v>
          </cell>
        </row>
        <row r="391">
          <cell r="B391" t="str">
            <v>FAJA29AC</v>
          </cell>
          <cell r="C391" t="str">
            <v>Fajar Tani Muliya/Ibnu</v>
          </cell>
          <cell r="D391" t="str">
            <v>Sumartini</v>
          </cell>
          <cell r="E391" t="str">
            <v>Jl. Terusan Borobudur No.189, RT.002/RW.004, kel. Tamanbaru, Kec. Banyuwangi</v>
          </cell>
          <cell r="F391" t="str">
            <v>Banyuwangi</v>
          </cell>
          <cell r="G391" t="str">
            <v>3510166404420001</v>
          </cell>
          <cell r="H391" t="str">
            <v>000000000000000</v>
          </cell>
          <cell r="J391">
            <v>0</v>
          </cell>
          <cell r="K391">
            <v>0</v>
          </cell>
          <cell r="L391">
            <v>0</v>
          </cell>
        </row>
        <row r="392">
          <cell r="B392" t="str">
            <v>FAJA30AC</v>
          </cell>
          <cell r="C392" t="str">
            <v>Fajar Tani Muliya/Ibnu</v>
          </cell>
          <cell r="D392" t="str">
            <v>Alfian Jayadi</v>
          </cell>
          <cell r="E392" t="str">
            <v>Perum Griya Indah Agus Salim Blok C2, RT.002/RW.001, Kel. Mojopanggung, Kec. Giri</v>
          </cell>
          <cell r="F392" t="str">
            <v>Banyuwangi</v>
          </cell>
          <cell r="G392" t="str">
            <v>3510171404810002</v>
          </cell>
          <cell r="H392" t="str">
            <v>000000000000000</v>
          </cell>
          <cell r="J392">
            <v>0</v>
          </cell>
          <cell r="K392">
            <v>0</v>
          </cell>
          <cell r="L392">
            <v>0</v>
          </cell>
        </row>
        <row r="393">
          <cell r="B393" t="str">
            <v>FAJA31AC</v>
          </cell>
          <cell r="C393" t="str">
            <v>Fajar Tani Muliya/Ibnu</v>
          </cell>
          <cell r="D393" t="str">
            <v>Nur Hariri</v>
          </cell>
          <cell r="E393" t="str">
            <v>Lingk. Kramat, RT.003/RW.002, Kel. Kertosari, Kec. Banyuwangi</v>
          </cell>
          <cell r="F393" t="str">
            <v>Banyuwangi</v>
          </cell>
          <cell r="G393" t="str">
            <v>3510161309790002</v>
          </cell>
          <cell r="H393" t="str">
            <v>000000000000000</v>
          </cell>
          <cell r="J393">
            <v>0</v>
          </cell>
          <cell r="K393">
            <v>0</v>
          </cell>
          <cell r="L393">
            <v>0</v>
          </cell>
        </row>
        <row r="394">
          <cell r="B394" t="str">
            <v>FAJA32AC</v>
          </cell>
          <cell r="C394" t="str">
            <v>Fajar Tani Muliya/Ibnu</v>
          </cell>
          <cell r="D394" t="str">
            <v>Nur Holis</v>
          </cell>
          <cell r="E394" t="str">
            <v>Dusun Krajan, RT.002/RW.001, Kel. Jelun, Kec. Licin</v>
          </cell>
          <cell r="F394" t="str">
            <v>Banyuwangi</v>
          </cell>
          <cell r="G394" t="str">
            <v>3510240710760005</v>
          </cell>
          <cell r="H394" t="str">
            <v>000000000000000</v>
          </cell>
          <cell r="J394">
            <v>0</v>
          </cell>
          <cell r="K394">
            <v>0</v>
          </cell>
          <cell r="L394">
            <v>0</v>
          </cell>
        </row>
        <row r="395">
          <cell r="B395" t="str">
            <v>FAJA33AC</v>
          </cell>
          <cell r="C395" t="str">
            <v>Fajar Tani Muliya/Ibnu</v>
          </cell>
          <cell r="D395" t="str">
            <v>Rofiq Hidayat</v>
          </cell>
          <cell r="E395" t="str">
            <v>Jl. Indra Giri, RT.002/RW.004, kel. Penataran, Kec. Giri</v>
          </cell>
          <cell r="F395" t="str">
            <v>Banyuwangi</v>
          </cell>
          <cell r="G395" t="str">
            <v>3510170301910003</v>
          </cell>
          <cell r="H395" t="str">
            <v>000000000000000</v>
          </cell>
          <cell r="J395">
            <v>0</v>
          </cell>
          <cell r="K395">
            <v>0</v>
          </cell>
          <cell r="L395">
            <v>0</v>
          </cell>
        </row>
        <row r="396">
          <cell r="B396" t="str">
            <v>FAJA34AC</v>
          </cell>
          <cell r="C396" t="str">
            <v>Fajar Tani Muliya/Ibnu</v>
          </cell>
          <cell r="D396" t="str">
            <v>Busairi</v>
          </cell>
          <cell r="E396" t="str">
            <v>Jl. Yos Sudarso Link. Sukowidi, RT.003/RW.003, Kel. Klatak, Kec. Kalipuro</v>
          </cell>
          <cell r="F396" t="str">
            <v>Banyuwangi</v>
          </cell>
          <cell r="G396" t="str">
            <v>3510212101670002</v>
          </cell>
          <cell r="H396" t="str">
            <v>000000000000000</v>
          </cell>
          <cell r="J396">
            <v>0</v>
          </cell>
          <cell r="K396">
            <v>0</v>
          </cell>
          <cell r="L396">
            <v>0</v>
          </cell>
        </row>
        <row r="397">
          <cell r="B397" t="str">
            <v>FAJA35AC</v>
          </cell>
          <cell r="C397" t="str">
            <v>Fajar Tani Muliya/Ibnu</v>
          </cell>
          <cell r="D397" t="str">
            <v>Poniyah</v>
          </cell>
          <cell r="E397" t="str">
            <v>Dusun Krajan 2, RT.001/RW.004, Kel. Gambiran, Kec. Gambiran</v>
          </cell>
          <cell r="F397" t="str">
            <v>Banyuwangi</v>
          </cell>
          <cell r="G397" t="str">
            <v>3510077006680028</v>
          </cell>
          <cell r="H397" t="str">
            <v>000000000000000</v>
          </cell>
          <cell r="J397">
            <v>0</v>
          </cell>
          <cell r="K397">
            <v>0</v>
          </cell>
          <cell r="L397">
            <v>0</v>
          </cell>
        </row>
        <row r="398">
          <cell r="B398" t="str">
            <v>FAJA36AC</v>
          </cell>
          <cell r="C398" t="str">
            <v>Fajar Tani Muliya/Ibnu</v>
          </cell>
          <cell r="D398" t="str">
            <v>ada KTP lain blm input</v>
          </cell>
          <cell r="J398">
            <v>0</v>
          </cell>
          <cell r="K398">
            <v>0</v>
          </cell>
          <cell r="L398">
            <v>0</v>
          </cell>
        </row>
        <row r="399">
          <cell r="B399" t="str">
            <v>FANJ01AC</v>
          </cell>
          <cell r="C399" t="str">
            <v>Fandi Jaya/Afandi</v>
          </cell>
          <cell r="D399" t="str">
            <v>Masriah</v>
          </cell>
          <cell r="E399" t="str">
            <v>Siwuran, RT.001/RW.002, Kel. Siwuran, Kec. Maduran</v>
          </cell>
          <cell r="F399" t="str">
            <v>Lamongan</v>
          </cell>
          <cell r="G399" t="str">
            <v>3524105710560004</v>
          </cell>
          <cell r="H399" t="str">
            <v>000000000000000</v>
          </cell>
          <cell r="J399">
            <v>2895999.9999900004</v>
          </cell>
          <cell r="K399">
            <v>0</v>
          </cell>
          <cell r="L399">
            <v>2895999.9999900004</v>
          </cell>
        </row>
        <row r="400">
          <cell r="B400" t="str">
            <v>FANJ02AC</v>
          </cell>
          <cell r="C400" t="str">
            <v>Fandi Jaya/Afandi</v>
          </cell>
          <cell r="D400" t="str">
            <v>Supriyadi FJ</v>
          </cell>
          <cell r="E400" t="str">
            <v>Klagensrampat, RT.006/RW.001, Kel. Klagensrampat, Kec. Maduran</v>
          </cell>
          <cell r="F400" t="str">
            <v>Lamongan</v>
          </cell>
          <cell r="G400" t="str">
            <v>3524102002550002</v>
          </cell>
          <cell r="H400" t="str">
            <v>000000000000000</v>
          </cell>
          <cell r="J400">
            <v>0</v>
          </cell>
          <cell r="K400">
            <v>0</v>
          </cell>
          <cell r="L400">
            <v>0</v>
          </cell>
        </row>
        <row r="401">
          <cell r="B401" t="str">
            <v>FANJ03AC</v>
          </cell>
          <cell r="C401" t="str">
            <v>Fandi Jaya/Afandi</v>
          </cell>
          <cell r="D401" t="str">
            <v>Hasyim</v>
          </cell>
          <cell r="E401" t="str">
            <v>Klagensrampat, RT.004/RW.001, Kel. Klagensrampat, Kec. Maduran</v>
          </cell>
          <cell r="F401" t="str">
            <v>Lamongan</v>
          </cell>
          <cell r="G401" t="str">
            <v>3524101106670001</v>
          </cell>
          <cell r="H401" t="str">
            <v>000000000000000</v>
          </cell>
          <cell r="J401">
            <v>0</v>
          </cell>
          <cell r="K401">
            <v>0</v>
          </cell>
          <cell r="L401">
            <v>0</v>
          </cell>
        </row>
        <row r="402">
          <cell r="B402" t="str">
            <v>FANJ04AC</v>
          </cell>
          <cell r="C402" t="str">
            <v>Fandi Jaya/Afandi</v>
          </cell>
          <cell r="D402" t="str">
            <v>Usman</v>
          </cell>
          <cell r="E402" t="str">
            <v>Klagensrampat, RT.006/RW.001, Kel. Klagensrampat, Kec. Maduran</v>
          </cell>
          <cell r="F402" t="str">
            <v>Lamongan</v>
          </cell>
          <cell r="G402" t="str">
            <v>3524102508710003</v>
          </cell>
          <cell r="H402" t="str">
            <v>000000000000000</v>
          </cell>
          <cell r="J402">
            <v>0</v>
          </cell>
          <cell r="K402">
            <v>0</v>
          </cell>
          <cell r="L402">
            <v>0</v>
          </cell>
        </row>
        <row r="403">
          <cell r="B403" t="str">
            <v>FANJ05AC</v>
          </cell>
          <cell r="C403" t="str">
            <v>Fandi Jaya/Afandi</v>
          </cell>
          <cell r="D403" t="str">
            <v>Teguh Santoso</v>
          </cell>
          <cell r="E403" t="str">
            <v>Klagensrampat, RT.003/RW.001, Kel. Klagensrampat, Kec. Maduran</v>
          </cell>
          <cell r="F403" t="str">
            <v>Lamongan</v>
          </cell>
          <cell r="G403" t="str">
            <v>3524103006670001</v>
          </cell>
          <cell r="H403" t="str">
            <v>000000000000000</v>
          </cell>
          <cell r="J403">
            <v>0</v>
          </cell>
          <cell r="K403">
            <v>0</v>
          </cell>
          <cell r="L403">
            <v>0</v>
          </cell>
        </row>
        <row r="404">
          <cell r="B404" t="str">
            <v>FANJ06AC</v>
          </cell>
          <cell r="C404" t="str">
            <v>Fandi Jaya/Afandi</v>
          </cell>
          <cell r="D404" t="str">
            <v>Supraji</v>
          </cell>
          <cell r="E404" t="str">
            <v>Klagensrampat, RT.003/RW.001, Kel. Klagensrampat, Kec. Maduran</v>
          </cell>
          <cell r="F404" t="str">
            <v>Lamongan</v>
          </cell>
          <cell r="G404" t="str">
            <v>3524101506690003</v>
          </cell>
          <cell r="H404" t="str">
            <v>000000000000000</v>
          </cell>
          <cell r="J404">
            <v>0</v>
          </cell>
          <cell r="K404">
            <v>0</v>
          </cell>
          <cell r="L404">
            <v>0</v>
          </cell>
        </row>
        <row r="405">
          <cell r="B405" t="str">
            <v>FANJ07AC</v>
          </cell>
          <cell r="C405" t="str">
            <v>Fandi Jaya/Afandi</v>
          </cell>
          <cell r="D405" t="str">
            <v>Amuji</v>
          </cell>
          <cell r="E405" t="str">
            <v>Klagensrampat, RT.006/RW.001, Kel. Klagensrampat, Kec. Maduran</v>
          </cell>
          <cell r="F405" t="str">
            <v>Lamongan</v>
          </cell>
          <cell r="G405" t="str">
            <v>3524101003780002</v>
          </cell>
          <cell r="H405" t="str">
            <v>000000000000000</v>
          </cell>
          <cell r="J405">
            <v>0</v>
          </cell>
          <cell r="K405">
            <v>0</v>
          </cell>
          <cell r="L405">
            <v>0</v>
          </cell>
        </row>
        <row r="406">
          <cell r="B406" t="str">
            <v>FANJ08AC</v>
          </cell>
          <cell r="C406" t="str">
            <v>Fandi Jaya/Afandi</v>
          </cell>
          <cell r="D406" t="str">
            <v>Maki</v>
          </cell>
          <cell r="E406" t="str">
            <v>Siwuran, RT.001/RW.001, Kel. Siwuran, Kec. Maduran</v>
          </cell>
          <cell r="F406" t="str">
            <v>Lamongan</v>
          </cell>
          <cell r="G406" t="str">
            <v>3524102808550003</v>
          </cell>
          <cell r="H406" t="str">
            <v>000000000000000</v>
          </cell>
          <cell r="J406">
            <v>0</v>
          </cell>
          <cell r="K406">
            <v>0</v>
          </cell>
          <cell r="L406">
            <v>0</v>
          </cell>
        </row>
        <row r="407">
          <cell r="B407" t="str">
            <v>FANJ24AC</v>
          </cell>
          <cell r="C407" t="str">
            <v>Fandi Jaya/Afandi</v>
          </cell>
          <cell r="D407" t="str">
            <v>Surip</v>
          </cell>
          <cell r="E407" t="str">
            <v>Klagensrampat, RT.001/RW.001, Kel. Klagensrampat, Kec. Maduran</v>
          </cell>
          <cell r="F407" t="str">
            <v>Lamongan</v>
          </cell>
          <cell r="G407" t="str">
            <v>3524100802660001</v>
          </cell>
          <cell r="H407" t="str">
            <v>000000000000000</v>
          </cell>
          <cell r="J407">
            <v>0</v>
          </cell>
          <cell r="K407">
            <v>0</v>
          </cell>
          <cell r="L407">
            <v>0</v>
          </cell>
        </row>
        <row r="408">
          <cell r="B408" t="str">
            <v>FANJ25AC</v>
          </cell>
          <cell r="C408" t="str">
            <v>Fandi Jaya/Afandi</v>
          </cell>
          <cell r="D408" t="str">
            <v>Suprobo</v>
          </cell>
          <cell r="E408" t="str">
            <v>Siwuran, RT.006/RW.002, Kel. Siwuran, Kec. Maduran</v>
          </cell>
          <cell r="F408" t="str">
            <v>Lamongan</v>
          </cell>
          <cell r="G408" t="str">
            <v>3524102505750001</v>
          </cell>
          <cell r="H408" t="str">
            <v>000000000000000</v>
          </cell>
          <cell r="J408">
            <v>0</v>
          </cell>
          <cell r="K408">
            <v>0</v>
          </cell>
          <cell r="L408">
            <v>0</v>
          </cell>
        </row>
        <row r="409">
          <cell r="B409" t="str">
            <v>FANJ26AC</v>
          </cell>
          <cell r="C409" t="str">
            <v>Fandi Jaya/Afandi</v>
          </cell>
          <cell r="D409" t="str">
            <v>Utomo</v>
          </cell>
          <cell r="E409" t="str">
            <v>Siwuran, RT.006/RW.002, Kel. Siwuran, Kec. Maduran</v>
          </cell>
          <cell r="F409" t="str">
            <v>Lamongan</v>
          </cell>
          <cell r="G409" t="str">
            <v>3524102008660001</v>
          </cell>
          <cell r="H409" t="str">
            <v>000000000000000</v>
          </cell>
          <cell r="J409">
            <v>0</v>
          </cell>
          <cell r="K409">
            <v>0</v>
          </cell>
          <cell r="L409">
            <v>0</v>
          </cell>
        </row>
        <row r="410">
          <cell r="B410" t="str">
            <v>FANJ27AC</v>
          </cell>
          <cell r="C410" t="str">
            <v>Fandi Jaya/Afandi</v>
          </cell>
          <cell r="D410" t="str">
            <v>Yatemah</v>
          </cell>
          <cell r="E410" t="str">
            <v>Siwuran, RT.001/RW.001, Kel. Siwuran, Kec. Maduran</v>
          </cell>
          <cell r="F410" t="str">
            <v>Lamongan</v>
          </cell>
          <cell r="G410" t="str">
            <v>3524104605600001</v>
          </cell>
          <cell r="H410" t="str">
            <v>000000000000000</v>
          </cell>
          <cell r="J410">
            <v>0</v>
          </cell>
          <cell r="K410">
            <v>0</v>
          </cell>
          <cell r="L410">
            <v>0</v>
          </cell>
        </row>
        <row r="411">
          <cell r="B411" t="str">
            <v>FANJ28AC</v>
          </cell>
          <cell r="C411" t="str">
            <v>Fandi Jaya/Afandi</v>
          </cell>
          <cell r="D411" t="str">
            <v>Khusnan Marzuki</v>
          </cell>
          <cell r="E411" t="str">
            <v>Siwuran, RT.004/RW.001, Kel. Siwuran, Kec. Maduran</v>
          </cell>
          <cell r="F411" t="str">
            <v>Lamongan</v>
          </cell>
          <cell r="G411" t="str">
            <v>3524103004850002</v>
          </cell>
          <cell r="H411" t="str">
            <v>000000000000000</v>
          </cell>
          <cell r="J411">
            <v>0</v>
          </cell>
          <cell r="K411">
            <v>0</v>
          </cell>
          <cell r="L411">
            <v>0</v>
          </cell>
        </row>
        <row r="412">
          <cell r="B412" t="str">
            <v>FATH01AC</v>
          </cell>
          <cell r="C412" t="str">
            <v>Fathur Roziq</v>
          </cell>
          <cell r="D412" t="str">
            <v>Romelan</v>
          </cell>
          <cell r="E412" t="str">
            <v>Takerharjo, RT.04/RW.04, Kel. Takerharjo, Kec. Solokuro</v>
          </cell>
          <cell r="F412" t="str">
            <v>Lamongan</v>
          </cell>
          <cell r="G412" t="str">
            <v>3524151106590002</v>
          </cell>
          <cell r="H412" t="str">
            <v>000000000000000</v>
          </cell>
          <cell r="I412" t="str">
            <v>Risma Jaya/Fathoni pakai NIK acak Fathur Roziq ( Info riyan Mesengger 18/01/2023)</v>
          </cell>
          <cell r="J412">
            <v>0</v>
          </cell>
          <cell r="K412">
            <v>0</v>
          </cell>
          <cell r="L412">
            <v>0</v>
          </cell>
        </row>
        <row r="413">
          <cell r="B413" t="str">
            <v>FATH02AC</v>
          </cell>
          <cell r="C413" t="str">
            <v>Fathur Roziq</v>
          </cell>
          <cell r="D413" t="str">
            <v>Dwi Triyani</v>
          </cell>
          <cell r="E413" t="str">
            <v>Takerharjo, RT.04/RW.04, Kel. Takerharjo, Kec. Solokuro</v>
          </cell>
          <cell r="F413" t="str">
            <v>Lamongan</v>
          </cell>
          <cell r="G413" t="str">
            <v>3524154303950003</v>
          </cell>
          <cell r="H413" t="str">
            <v>000000000000000</v>
          </cell>
          <cell r="J413">
            <v>0</v>
          </cell>
          <cell r="K413">
            <v>0</v>
          </cell>
          <cell r="L413">
            <v>0</v>
          </cell>
        </row>
        <row r="414">
          <cell r="B414" t="str">
            <v>FATH03AC</v>
          </cell>
          <cell r="C414" t="str">
            <v>Fathur Roziq</v>
          </cell>
          <cell r="D414" t="str">
            <v>Moh. Zainuri, SE</v>
          </cell>
          <cell r="E414" t="str">
            <v>Takerharjo, RT.04/RW.04, Kel. Takerharjo, Kec. Solokuro</v>
          </cell>
          <cell r="F414" t="str">
            <v>Lamongan</v>
          </cell>
          <cell r="G414" t="str">
            <v>3524152210900001</v>
          </cell>
          <cell r="H414" t="str">
            <v>000000000000000</v>
          </cell>
          <cell r="J414">
            <v>0</v>
          </cell>
          <cell r="K414">
            <v>0</v>
          </cell>
          <cell r="L414">
            <v>0</v>
          </cell>
        </row>
        <row r="415">
          <cell r="B415" t="str">
            <v>FATH04AC</v>
          </cell>
          <cell r="C415" t="str">
            <v>Fathur Roziq</v>
          </cell>
          <cell r="D415" t="str">
            <v>Muhammad Taufik Rohman</v>
          </cell>
          <cell r="E415" t="str">
            <v>Tepanas, RT.02/RW.02, Kel. Kranji, Kec. Paciran</v>
          </cell>
          <cell r="F415" t="str">
            <v>Lamongan</v>
          </cell>
          <cell r="G415" t="str">
            <v>3524141606010007</v>
          </cell>
          <cell r="H415" t="str">
            <v>000000000000000</v>
          </cell>
          <cell r="J415">
            <v>0</v>
          </cell>
          <cell r="K415">
            <v>0</v>
          </cell>
          <cell r="L415">
            <v>0</v>
          </cell>
        </row>
        <row r="416">
          <cell r="B416" t="str">
            <v>FATH05AC</v>
          </cell>
          <cell r="C416" t="str">
            <v>Fathur Roziq</v>
          </cell>
          <cell r="D416" t="str">
            <v>Kamsir</v>
          </cell>
          <cell r="E416" t="str">
            <v>Takerharjo, RT.004/RW.004, Kel. Takerharjo, Kec. Solokuro</v>
          </cell>
          <cell r="F416" t="str">
            <v>Lamongan</v>
          </cell>
          <cell r="G416" t="str">
            <v>3524150101660014</v>
          </cell>
          <cell r="H416" t="str">
            <v>000000000000000</v>
          </cell>
          <cell r="J416">
            <v>0</v>
          </cell>
          <cell r="K416">
            <v>0</v>
          </cell>
          <cell r="L416">
            <v>0</v>
          </cell>
        </row>
        <row r="417">
          <cell r="B417" t="str">
            <v>FATH06AC</v>
          </cell>
          <cell r="C417" t="str">
            <v>Fathur Roziq</v>
          </cell>
          <cell r="D417" t="str">
            <v>Mustaqim</v>
          </cell>
          <cell r="E417" t="str">
            <v>Takerharjo, RT.004/RW.004, Kel. Takerharjo, Kec. Solokuro</v>
          </cell>
          <cell r="F417" t="str">
            <v>Lamongan</v>
          </cell>
          <cell r="G417" t="str">
            <v>3524151305660002</v>
          </cell>
          <cell r="H417" t="str">
            <v>000000000000000</v>
          </cell>
          <cell r="J417">
            <v>0</v>
          </cell>
          <cell r="K417">
            <v>0</v>
          </cell>
          <cell r="L417">
            <v>0</v>
          </cell>
        </row>
        <row r="418">
          <cell r="B418" t="str">
            <v>FATH07AC</v>
          </cell>
          <cell r="C418" t="str">
            <v>Fathur Roziq</v>
          </cell>
          <cell r="D418" t="str">
            <v>Samikah</v>
          </cell>
          <cell r="E418" t="str">
            <v>Takerharjo, RT.004/RW.004, Kel. Takerharjo, Kec. Solokuro</v>
          </cell>
          <cell r="F418" t="str">
            <v>Lamongan</v>
          </cell>
          <cell r="G418" t="str">
            <v>3524154101690022</v>
          </cell>
          <cell r="H418" t="str">
            <v>000000000000000</v>
          </cell>
          <cell r="J418">
            <v>0</v>
          </cell>
          <cell r="K418">
            <v>0</v>
          </cell>
          <cell r="L418">
            <v>0</v>
          </cell>
        </row>
        <row r="419">
          <cell r="B419" t="str">
            <v>FATH08AC</v>
          </cell>
          <cell r="C419" t="str">
            <v>Fathur Roziq</v>
          </cell>
          <cell r="D419" t="str">
            <v>Roudlotul Faizah</v>
          </cell>
          <cell r="E419" t="str">
            <v>Takerharjo, RT.004/RW.004, Kel. Takerharjo, Kec. Solokuro</v>
          </cell>
          <cell r="F419" t="str">
            <v>Lamongan</v>
          </cell>
          <cell r="G419" t="str">
            <v>3524155412740001</v>
          </cell>
          <cell r="H419" t="str">
            <v>000000000000000</v>
          </cell>
          <cell r="J419">
            <v>0</v>
          </cell>
          <cell r="K419">
            <v>0</v>
          </cell>
          <cell r="L419">
            <v>0</v>
          </cell>
        </row>
        <row r="420">
          <cell r="B420" t="str">
            <v>FATH09AC</v>
          </cell>
          <cell r="C420" t="str">
            <v>Fathur Roziq</v>
          </cell>
          <cell r="D420" t="str">
            <v>Fathul Mubin</v>
          </cell>
          <cell r="E420" t="str">
            <v>Banyubang, RT.003/RW.001, Kel. Banyubang, Kec. Solokuro</v>
          </cell>
          <cell r="F420" t="str">
            <v>Lamongan</v>
          </cell>
          <cell r="G420" t="str">
            <v>3524151112910001</v>
          </cell>
          <cell r="H420" t="str">
            <v>000000000000000</v>
          </cell>
          <cell r="J420">
            <v>0</v>
          </cell>
          <cell r="K420">
            <v>0</v>
          </cell>
          <cell r="L420">
            <v>0</v>
          </cell>
        </row>
        <row r="421">
          <cell r="B421" t="str">
            <v>FATH10AC</v>
          </cell>
          <cell r="C421" t="str">
            <v>Fathur Roziq</v>
          </cell>
          <cell r="D421" t="str">
            <v>Sufaid</v>
          </cell>
          <cell r="E421" t="str">
            <v>Takerharjo, RT.001/RW.001, Kel. Takerharjo, Kec. Solokuro</v>
          </cell>
          <cell r="F421" t="str">
            <v>Lamongan</v>
          </cell>
          <cell r="G421" t="str">
            <v>3524151502860004</v>
          </cell>
          <cell r="H421" t="str">
            <v>000000000000000</v>
          </cell>
          <cell r="J421">
            <v>0</v>
          </cell>
          <cell r="K421">
            <v>0</v>
          </cell>
          <cell r="L421">
            <v>0</v>
          </cell>
        </row>
        <row r="422">
          <cell r="B422" t="str">
            <v>FATH11AC</v>
          </cell>
          <cell r="C422" t="str">
            <v>Fathur Roziq</v>
          </cell>
          <cell r="D422" t="str">
            <v>Abd. Kholiq Ghofar</v>
          </cell>
          <cell r="E422" t="str">
            <v>Takerharjo, RT.004/RW.002, Kel. Takerharjo, Kec. Solokuro</v>
          </cell>
          <cell r="F422" t="str">
            <v>Lamongan</v>
          </cell>
          <cell r="G422" t="str">
            <v>3524151605690001</v>
          </cell>
          <cell r="H422" t="str">
            <v>000000000000000</v>
          </cell>
          <cell r="J422">
            <v>0</v>
          </cell>
          <cell r="K422">
            <v>0</v>
          </cell>
          <cell r="L422">
            <v>0</v>
          </cell>
        </row>
        <row r="423">
          <cell r="B423" t="str">
            <v>FATH12AC</v>
          </cell>
          <cell r="C423" t="str">
            <v>Fathur Roziq</v>
          </cell>
          <cell r="D423" t="str">
            <v>Asifah</v>
          </cell>
          <cell r="E423" t="str">
            <v>Takerharjo, RT.003/RW.002, Kel. Takerharjo, Kec. Solokuro</v>
          </cell>
          <cell r="F423" t="str">
            <v>Lamongan</v>
          </cell>
          <cell r="G423" t="str">
            <v>3524155404730002</v>
          </cell>
          <cell r="H423" t="str">
            <v>000000000000000</v>
          </cell>
          <cell r="J423">
            <v>0</v>
          </cell>
          <cell r="K423">
            <v>0</v>
          </cell>
          <cell r="L423">
            <v>0</v>
          </cell>
        </row>
        <row r="424">
          <cell r="B424" t="str">
            <v>FATH13AC</v>
          </cell>
          <cell r="C424" t="str">
            <v>Fathur Roziq</v>
          </cell>
          <cell r="D424" t="str">
            <v>Tina Deniyanti</v>
          </cell>
          <cell r="E424" t="str">
            <v>Takerharjo, RT.001/RW.001, Kel. Takerharjo, Kec. Solokuro</v>
          </cell>
          <cell r="F424" t="str">
            <v>Lamongan</v>
          </cell>
          <cell r="G424" t="str">
            <v>3524156812860001</v>
          </cell>
          <cell r="H424" t="str">
            <v>000000000000000</v>
          </cell>
          <cell r="J424">
            <v>0</v>
          </cell>
          <cell r="K424">
            <v>0</v>
          </cell>
          <cell r="L424">
            <v>0</v>
          </cell>
        </row>
        <row r="425">
          <cell r="B425" t="str">
            <v>FATH14AC</v>
          </cell>
          <cell r="C425" t="str">
            <v>Fathur Roziq</v>
          </cell>
          <cell r="D425" t="str">
            <v>Qiraatul Faizah</v>
          </cell>
          <cell r="E425" t="str">
            <v>Takerharjo, RT.004/RW.004, Kel. Takerharjo, Kec. Solokuro</v>
          </cell>
          <cell r="F425" t="str">
            <v>Lamongan</v>
          </cell>
          <cell r="G425" t="str">
            <v>3524154110800002</v>
          </cell>
          <cell r="H425" t="str">
            <v>000000000000000</v>
          </cell>
          <cell r="J425">
            <v>0</v>
          </cell>
          <cell r="K425">
            <v>0</v>
          </cell>
          <cell r="L425">
            <v>0</v>
          </cell>
        </row>
        <row r="426">
          <cell r="B426" t="str">
            <v>FATH15AC</v>
          </cell>
          <cell r="C426" t="str">
            <v>Fathur Roziq</v>
          </cell>
          <cell r="D426" t="str">
            <v>Sutarno</v>
          </cell>
          <cell r="E426" t="str">
            <v>Takerharjo, RT.004/RW.004, Kel. Takerharjo, Kec. Solokuro</v>
          </cell>
          <cell r="F426" t="str">
            <v>Lamongan</v>
          </cell>
          <cell r="G426" t="str">
            <v>3524152310830001</v>
          </cell>
          <cell r="H426" t="str">
            <v>000000000000000</v>
          </cell>
          <cell r="J426">
            <v>0</v>
          </cell>
          <cell r="K426">
            <v>0</v>
          </cell>
          <cell r="L426">
            <v>0</v>
          </cell>
        </row>
        <row r="427">
          <cell r="B427" t="str">
            <v>FATH16AC</v>
          </cell>
          <cell r="C427" t="str">
            <v>Fathur Roziq</v>
          </cell>
          <cell r="D427" t="str">
            <v>Ferri Agus Santoso</v>
          </cell>
          <cell r="E427" t="str">
            <v>Takerharjo, RT.001/RW.002, Kel. Takerharjo, Kec. Solokuro</v>
          </cell>
          <cell r="F427" t="str">
            <v>Lamongan</v>
          </cell>
          <cell r="G427" t="str">
            <v>3524151911890002</v>
          </cell>
          <cell r="H427" t="str">
            <v>000000000000000</v>
          </cell>
          <cell r="J427">
            <v>0</v>
          </cell>
          <cell r="K427">
            <v>0</v>
          </cell>
          <cell r="L427">
            <v>0</v>
          </cell>
        </row>
        <row r="428">
          <cell r="B428" t="str">
            <v>FATH17AC</v>
          </cell>
          <cell r="C428" t="str">
            <v>Fathur Roziq</v>
          </cell>
          <cell r="D428" t="str">
            <v>Rusiyanan</v>
          </cell>
          <cell r="E428" t="str">
            <v>Takerharjo, RT.004/RW.004, Kel. Takerharjo, Kec. Solokuro</v>
          </cell>
          <cell r="F428" t="str">
            <v>Lamongan</v>
          </cell>
          <cell r="G428" t="str">
            <v>3524150102710007</v>
          </cell>
          <cell r="H428" t="str">
            <v>000000000000000</v>
          </cell>
          <cell r="J428">
            <v>0</v>
          </cell>
          <cell r="K428">
            <v>0</v>
          </cell>
          <cell r="L428">
            <v>0</v>
          </cell>
        </row>
        <row r="429">
          <cell r="B429" t="str">
            <v>FATH18AC</v>
          </cell>
          <cell r="C429" t="str">
            <v>Fathur Roziq</v>
          </cell>
          <cell r="D429" t="str">
            <v>Moh. Rodli</v>
          </cell>
          <cell r="E429" t="str">
            <v>Takerharjo, RT.004/RW.004, Kel. Takerharjo, Kec. Solokuro</v>
          </cell>
          <cell r="F429" t="str">
            <v>Lamongan</v>
          </cell>
          <cell r="G429" t="str">
            <v>3524153009820002</v>
          </cell>
          <cell r="H429" t="str">
            <v>000000000000000</v>
          </cell>
          <cell r="J429">
            <v>0</v>
          </cell>
          <cell r="K429">
            <v>0</v>
          </cell>
          <cell r="L429">
            <v>0</v>
          </cell>
        </row>
        <row r="430">
          <cell r="B430" t="str">
            <v>FATH19AC</v>
          </cell>
          <cell r="C430" t="str">
            <v>Fathur Roziq</v>
          </cell>
          <cell r="D430" t="str">
            <v>Suwati</v>
          </cell>
          <cell r="E430" t="str">
            <v>Takerharjo, RT.001/RW.004, Kel. Takerharjo, Kec. Solokuro</v>
          </cell>
          <cell r="F430" t="str">
            <v>Lamongan</v>
          </cell>
          <cell r="G430" t="str">
            <v>3524154101450035</v>
          </cell>
          <cell r="H430" t="str">
            <v>000000000000000</v>
          </cell>
          <cell r="J430">
            <v>0</v>
          </cell>
          <cell r="K430">
            <v>0</v>
          </cell>
          <cell r="L430">
            <v>0</v>
          </cell>
        </row>
        <row r="431">
          <cell r="B431" t="str">
            <v>FATH20AC</v>
          </cell>
          <cell r="C431" t="str">
            <v>Fathur Roziq</v>
          </cell>
          <cell r="D431" t="str">
            <v>Kamijo</v>
          </cell>
          <cell r="E431" t="str">
            <v>Takerharjo, RT.001/RW.004, Kel. Takerharjo, Kec. Solokuro</v>
          </cell>
          <cell r="F431" t="str">
            <v>Lamongan</v>
          </cell>
          <cell r="G431" t="str">
            <v>3524150101400028</v>
          </cell>
          <cell r="H431" t="str">
            <v>000000000000000</v>
          </cell>
          <cell r="J431">
            <v>0</v>
          </cell>
          <cell r="K431">
            <v>0</v>
          </cell>
          <cell r="L431">
            <v>0</v>
          </cell>
        </row>
        <row r="432">
          <cell r="B432" t="str">
            <v>FATH21AC</v>
          </cell>
          <cell r="C432" t="str">
            <v>Fathur Roziq</v>
          </cell>
          <cell r="J432">
            <v>0</v>
          </cell>
          <cell r="K432">
            <v>0</v>
          </cell>
          <cell r="L432">
            <v>0</v>
          </cell>
        </row>
        <row r="433">
          <cell r="B433" t="str">
            <v>FATH22AC</v>
          </cell>
          <cell r="C433" t="str">
            <v>Fathur Roziq</v>
          </cell>
          <cell r="J433">
            <v>0</v>
          </cell>
          <cell r="K433">
            <v>0</v>
          </cell>
          <cell r="L433">
            <v>0</v>
          </cell>
        </row>
        <row r="434">
          <cell r="B434" t="str">
            <v>FATH23AC</v>
          </cell>
          <cell r="C434" t="str">
            <v>Fathur Roziq</v>
          </cell>
          <cell r="J434">
            <v>0</v>
          </cell>
          <cell r="K434">
            <v>0</v>
          </cell>
          <cell r="L434">
            <v>0</v>
          </cell>
        </row>
        <row r="435">
          <cell r="B435" t="str">
            <v>FATH24AC</v>
          </cell>
          <cell r="C435" t="str">
            <v>Fathur Roziq</v>
          </cell>
          <cell r="J435">
            <v>0</v>
          </cell>
          <cell r="K435">
            <v>0</v>
          </cell>
          <cell r="L435">
            <v>0</v>
          </cell>
        </row>
        <row r="436">
          <cell r="B436" t="str">
            <v>FATH25AC</v>
          </cell>
          <cell r="C436" t="str">
            <v>Fathur Roziq</v>
          </cell>
          <cell r="J436">
            <v>0</v>
          </cell>
          <cell r="K436">
            <v>0</v>
          </cell>
          <cell r="L436">
            <v>0</v>
          </cell>
        </row>
        <row r="437">
          <cell r="B437" t="str">
            <v>FATH26AC</v>
          </cell>
          <cell r="C437" t="str">
            <v>Fathur Roziq</v>
          </cell>
          <cell r="J437">
            <v>0</v>
          </cell>
          <cell r="K437">
            <v>0</v>
          </cell>
          <cell r="L437">
            <v>0</v>
          </cell>
        </row>
        <row r="438">
          <cell r="B438" t="str">
            <v>GAN08AC</v>
          </cell>
          <cell r="C438" t="str">
            <v>Gangsar Tani/Noto, H</v>
          </cell>
          <cell r="D438" t="str">
            <v>Misdi</v>
          </cell>
          <cell r="E438" t="str">
            <v>Jl. Imam Bonjol II, No. 73, RT.004/RW.002, Kel. Sisir, Kec. Batu</v>
          </cell>
          <cell r="F438" t="str">
            <v>Batu</v>
          </cell>
          <cell r="G438" t="str">
            <v>3579021111650003</v>
          </cell>
          <cell r="H438" t="str">
            <v>000000000000000</v>
          </cell>
          <cell r="J438">
            <v>2499200</v>
          </cell>
          <cell r="K438">
            <v>0</v>
          </cell>
          <cell r="L438">
            <v>2499200</v>
          </cell>
        </row>
        <row r="439">
          <cell r="B439" t="str">
            <v>GAN10AC</v>
          </cell>
          <cell r="C439" t="str">
            <v>Gangsar Tani/Noto, H</v>
          </cell>
          <cell r="D439" t="str">
            <v>Riadi</v>
          </cell>
          <cell r="E439" t="str">
            <v>Gangsiran Putuk, RT.003/RW.005, Kel. Tlekung, Kec. Junrejo</v>
          </cell>
          <cell r="F439" t="str">
            <v>Batu</v>
          </cell>
          <cell r="G439" t="str">
            <v>3579030803660003</v>
          </cell>
          <cell r="H439" t="str">
            <v>000000000000000</v>
          </cell>
          <cell r="J439">
            <v>1862400</v>
          </cell>
          <cell r="K439">
            <v>0</v>
          </cell>
          <cell r="L439">
            <v>1862400</v>
          </cell>
        </row>
        <row r="440">
          <cell r="B440" t="str">
            <v>GAN11AC</v>
          </cell>
          <cell r="C440" t="str">
            <v>Gangsar Tani/Noto, H</v>
          </cell>
          <cell r="D440" t="str">
            <v>Imam Muslim</v>
          </cell>
          <cell r="E440" t="str">
            <v>Jl.TVRI Dusun Krajan, RT.002/RW.003, Kel. Oro-Oro Ombo, Kec. Batu</v>
          </cell>
          <cell r="F440" t="str">
            <v>Batu</v>
          </cell>
          <cell r="G440" t="str">
            <v>3505111702810002</v>
          </cell>
          <cell r="H440" t="str">
            <v>000000000000000</v>
          </cell>
          <cell r="J440">
            <v>16199999.999617502</v>
          </cell>
          <cell r="K440">
            <v>0</v>
          </cell>
          <cell r="L440">
            <v>16199999.999617502</v>
          </cell>
        </row>
        <row r="441">
          <cell r="B441" t="str">
            <v>GAN12AC</v>
          </cell>
          <cell r="C441" t="str">
            <v>Gangsar Tani/Noto, H</v>
          </cell>
          <cell r="D441" t="str">
            <v>Kiki Pujianto</v>
          </cell>
          <cell r="E441" t="str">
            <v>Toyomerto, RT.002/RW.002, Kel. Pesanggrahan, Kec. Batu</v>
          </cell>
          <cell r="F441" t="str">
            <v>Batu</v>
          </cell>
          <cell r="G441" t="str">
            <v>3579010306870007</v>
          </cell>
          <cell r="H441" t="str">
            <v>000000000000000</v>
          </cell>
          <cell r="J441">
            <v>16247999.999636102</v>
          </cell>
          <cell r="K441">
            <v>0</v>
          </cell>
          <cell r="L441">
            <v>16247999.999636102</v>
          </cell>
        </row>
        <row r="442">
          <cell r="B442" t="str">
            <v>GAN13AC</v>
          </cell>
          <cell r="C442" t="str">
            <v>Gangsar Tani/Noto, H</v>
          </cell>
          <cell r="D442" t="str">
            <v>Isrofi Suhartono</v>
          </cell>
          <cell r="E442" t="str">
            <v>Dsn. Sebaluh, RT.025/RW.005, Kel. Pandesari, Kec. Pujon</v>
          </cell>
          <cell r="F442" t="str">
            <v>Batu</v>
          </cell>
          <cell r="G442" t="str">
            <v>3507261101790001</v>
          </cell>
          <cell r="H442" t="str">
            <v>000000000000000</v>
          </cell>
          <cell r="J442">
            <v>4800000.0000000009</v>
          </cell>
          <cell r="K442">
            <v>0</v>
          </cell>
          <cell r="L442">
            <v>4800000.0000000009</v>
          </cell>
        </row>
        <row r="443">
          <cell r="B443" t="str">
            <v>GAN14AC</v>
          </cell>
          <cell r="C443" t="str">
            <v>Gangsar Tani/Noto, H</v>
          </cell>
          <cell r="D443" t="str">
            <v>Suwandi</v>
          </cell>
          <cell r="E443" t="str">
            <v>Krajan, RT.006/RW.006, Kel. Tlekung, Kec. Junrejo</v>
          </cell>
          <cell r="F443" t="str">
            <v>Batu</v>
          </cell>
          <cell r="G443" t="str">
            <v>3579031708630001</v>
          </cell>
          <cell r="H443" t="str">
            <v>000000000000000</v>
          </cell>
          <cell r="J443">
            <v>1568000</v>
          </cell>
          <cell r="K443">
            <v>0</v>
          </cell>
          <cell r="L443">
            <v>1568000</v>
          </cell>
        </row>
        <row r="444">
          <cell r="B444" t="str">
            <v>GAN15AC</v>
          </cell>
          <cell r="C444" t="str">
            <v>Gangsar Tani/Noto, H</v>
          </cell>
          <cell r="D444" t="str">
            <v>Sulkan</v>
          </cell>
          <cell r="E444" t="str">
            <v>Jl. Sumber Darmi, RT.005/RW.001, Kel. Tlekung, Kec. Junrejo</v>
          </cell>
          <cell r="F444" t="str">
            <v>Batu</v>
          </cell>
          <cell r="G444" t="str">
            <v>3579030103540001</v>
          </cell>
          <cell r="H444" t="str">
            <v>000000000000000</v>
          </cell>
          <cell r="J444">
            <v>12959999.999694001</v>
          </cell>
          <cell r="K444">
            <v>0</v>
          </cell>
          <cell r="L444">
            <v>12959999.999694001</v>
          </cell>
        </row>
        <row r="445">
          <cell r="B445" t="str">
            <v>GAN16AC</v>
          </cell>
          <cell r="C445" t="str">
            <v>Gangsar Tani/Noto, H</v>
          </cell>
          <cell r="D445" t="str">
            <v>Mudjahidin</v>
          </cell>
          <cell r="E445" t="str">
            <v>Jl. Anggrek, RT.001/RW.009, Kel. Oro-Oro Ombo, Kec. Batu</v>
          </cell>
          <cell r="F445" t="str">
            <v>Batu</v>
          </cell>
          <cell r="G445" t="str">
            <v>3579010512870007</v>
          </cell>
          <cell r="H445" t="str">
            <v>000000000000000</v>
          </cell>
          <cell r="J445">
            <v>12311999.999709301</v>
          </cell>
          <cell r="K445">
            <v>0</v>
          </cell>
          <cell r="L445">
            <v>12311999.999709301</v>
          </cell>
        </row>
        <row r="446">
          <cell r="B446" t="str">
            <v>GAN17AC</v>
          </cell>
          <cell r="C446" t="str">
            <v>Gangsar Tani/Noto, H</v>
          </cell>
          <cell r="D446" t="str">
            <v>Yasin</v>
          </cell>
          <cell r="E446" t="str">
            <v>JL. Kenanga, RT.001/RW.006, Kel. Oro-Oro Ombo, Kec. Batu</v>
          </cell>
          <cell r="F446" t="str">
            <v>Batu</v>
          </cell>
          <cell r="G446" t="str">
            <v>3579011308700001</v>
          </cell>
          <cell r="H446" t="str">
            <v>000000000000000</v>
          </cell>
          <cell r="J446">
            <v>7859999.9999655001</v>
          </cell>
          <cell r="K446">
            <v>0</v>
          </cell>
          <cell r="L446">
            <v>7859999.9999655001</v>
          </cell>
        </row>
        <row r="447">
          <cell r="B447" t="str">
            <v>GAN18AC</v>
          </cell>
          <cell r="C447" t="str">
            <v>Gangsar Tani/Noto, H</v>
          </cell>
          <cell r="D447" t="str">
            <v>Lasmat</v>
          </cell>
          <cell r="E447" t="str">
            <v>Sumbergondo Tegalsari, RT.001/RW.003, Kel. Sumbergondo, Kec. Bumiaji</v>
          </cell>
          <cell r="F447" t="str">
            <v>Batu</v>
          </cell>
          <cell r="G447" t="str">
            <v>3579022201800001</v>
          </cell>
          <cell r="H447" t="str">
            <v>000000000000000</v>
          </cell>
          <cell r="J447">
            <v>3759999.9999696007</v>
          </cell>
          <cell r="K447">
            <v>0</v>
          </cell>
          <cell r="L447">
            <v>3759999.9999696007</v>
          </cell>
        </row>
        <row r="448">
          <cell r="B448" t="str">
            <v>GAN19AC</v>
          </cell>
          <cell r="C448" t="str">
            <v>Gangsar Tani/Noto, H</v>
          </cell>
          <cell r="D448" t="str">
            <v>Karnadi</v>
          </cell>
          <cell r="E448" t="str">
            <v>Dsn. Salam, RT.010/RW.002, Kel. Sidodadi, Kec. Ngantang</v>
          </cell>
          <cell r="F448" t="str">
            <v>Malang</v>
          </cell>
          <cell r="G448" t="str">
            <v>3507272812650001</v>
          </cell>
          <cell r="H448" t="str">
            <v>000000000000000</v>
          </cell>
          <cell r="J448">
            <v>0</v>
          </cell>
          <cell r="K448">
            <v>0</v>
          </cell>
          <cell r="L448">
            <v>0</v>
          </cell>
        </row>
        <row r="449">
          <cell r="B449" t="str">
            <v>GAN20AC</v>
          </cell>
          <cell r="C449" t="str">
            <v>Gangsar Tani/Noto, H</v>
          </cell>
          <cell r="D449" t="str">
            <v>Lestari Emor</v>
          </cell>
          <cell r="E449" t="str">
            <v>Dsn. Dresel, RT.001/RW.010, Kel. Oro-Oro Ombo, Kec. Batu</v>
          </cell>
          <cell r="F449" t="str">
            <v>Batu</v>
          </cell>
          <cell r="G449" t="str">
            <v>3579012304650001</v>
          </cell>
          <cell r="H449" t="str">
            <v>000000000000000</v>
          </cell>
          <cell r="J449">
            <v>0</v>
          </cell>
          <cell r="K449">
            <v>0</v>
          </cell>
          <cell r="L449">
            <v>0</v>
          </cell>
        </row>
        <row r="450">
          <cell r="B450" t="str">
            <v>GAN21AC</v>
          </cell>
          <cell r="C450" t="str">
            <v>Gangsar Tani/Noto, H</v>
          </cell>
          <cell r="D450" t="str">
            <v>Supa'at</v>
          </cell>
          <cell r="E450" t="str">
            <v>Jl. Hasanudin, RT.002/RW.008, Kel. Junrejo, Kec. Junrejo</v>
          </cell>
          <cell r="F450" t="str">
            <v>Batu</v>
          </cell>
          <cell r="G450" t="str">
            <v>3579031001650002</v>
          </cell>
          <cell r="H450" t="str">
            <v>000000000000000</v>
          </cell>
          <cell r="J450">
            <v>0</v>
          </cell>
          <cell r="K450">
            <v>0</v>
          </cell>
          <cell r="L450">
            <v>0</v>
          </cell>
        </row>
        <row r="451">
          <cell r="B451" t="str">
            <v>GAN22AC</v>
          </cell>
          <cell r="C451" t="str">
            <v>Gangsar Tani/Noto, H</v>
          </cell>
          <cell r="D451" t="str">
            <v>Ahmad Mujahidin</v>
          </cell>
          <cell r="E451" t="str">
            <v>Jl. Mawar, RT.003/RW.009, Kel. Oro-Oro Ombo, Kec. Batu</v>
          </cell>
          <cell r="F451" t="str">
            <v>Batu</v>
          </cell>
          <cell r="G451" t="str">
            <v>3579011111770001</v>
          </cell>
          <cell r="H451" t="str">
            <v>000000000000000</v>
          </cell>
          <cell r="J451">
            <v>0</v>
          </cell>
          <cell r="K451">
            <v>0</v>
          </cell>
          <cell r="L451">
            <v>0</v>
          </cell>
        </row>
        <row r="452">
          <cell r="B452" t="str">
            <v>GAN23AC</v>
          </cell>
          <cell r="C452" t="str">
            <v>Gangsar Tani/Noto, H</v>
          </cell>
          <cell r="D452" t="str">
            <v>Supriyanto</v>
          </cell>
          <cell r="E452" t="str">
            <v>Jl. Kenanga 168, RT.002/RW.006, Kel. Oro-Oro Ombo, Kec. Batu</v>
          </cell>
          <cell r="F452" t="str">
            <v>Batu</v>
          </cell>
          <cell r="G452" t="str">
            <v>3579012002780001</v>
          </cell>
          <cell r="H452" t="str">
            <v>000000000000000</v>
          </cell>
          <cell r="J452">
            <v>0</v>
          </cell>
          <cell r="K452">
            <v>0</v>
          </cell>
          <cell r="L452">
            <v>0</v>
          </cell>
        </row>
        <row r="453">
          <cell r="B453" t="str">
            <v>GAN24AC</v>
          </cell>
          <cell r="C453" t="str">
            <v>Gangsar Tani/Noto, H</v>
          </cell>
          <cell r="D453" t="str">
            <v>Supardi</v>
          </cell>
          <cell r="E453" t="str">
            <v>Jl. TVRI, Dsn. Krajan, RT.001/RW.001, Kel. Oro-Oro Ombo, Kec. Batu</v>
          </cell>
          <cell r="F453" t="str">
            <v>Batu</v>
          </cell>
          <cell r="G453" t="str">
            <v>3579010102510001</v>
          </cell>
          <cell r="H453" t="str">
            <v>000000000000000</v>
          </cell>
          <cell r="J453">
            <v>0</v>
          </cell>
          <cell r="K453">
            <v>0</v>
          </cell>
          <cell r="L453">
            <v>0</v>
          </cell>
        </row>
        <row r="454">
          <cell r="B454" t="str">
            <v>GAN25AC</v>
          </cell>
          <cell r="C454" t="str">
            <v>Gangsar Tani/Noto, H</v>
          </cell>
          <cell r="D454" t="str">
            <v>Tarmudji</v>
          </cell>
          <cell r="E454" t="str">
            <v>Jl. Asalia, Dsn. Dresel, RT.001/RW.009, Kel. Oro-Oro Ombo, Kec. Batu</v>
          </cell>
          <cell r="F454" t="str">
            <v>Batu</v>
          </cell>
          <cell r="G454" t="str">
            <v>3579011012610003</v>
          </cell>
          <cell r="H454" t="str">
            <v>000000000000000</v>
          </cell>
          <cell r="J454">
            <v>0</v>
          </cell>
          <cell r="K454">
            <v>0</v>
          </cell>
          <cell r="L454">
            <v>0</v>
          </cell>
        </row>
        <row r="455">
          <cell r="B455" t="str">
            <v>GAN26AC</v>
          </cell>
          <cell r="C455" t="str">
            <v>Gangsar Tani/Noto, H</v>
          </cell>
          <cell r="D455" t="str">
            <v>Mujianto</v>
          </cell>
          <cell r="E455" t="str">
            <v>Jl. Kenanga, RT.002/RW.006, Kel. Oro-oro Ombo, Kec. Batu</v>
          </cell>
          <cell r="F455" t="str">
            <v>Batu</v>
          </cell>
          <cell r="G455" t="str">
            <v>3579012506830002</v>
          </cell>
          <cell r="H455" t="str">
            <v>000000000000000</v>
          </cell>
          <cell r="J455">
            <v>0</v>
          </cell>
          <cell r="K455">
            <v>0</v>
          </cell>
          <cell r="L455">
            <v>0</v>
          </cell>
        </row>
        <row r="456">
          <cell r="B456" t="str">
            <v>GAN27AC</v>
          </cell>
          <cell r="C456" t="str">
            <v>Gangsar Tani/Noto, H</v>
          </cell>
          <cell r="D456" t="str">
            <v>Panjuni</v>
          </cell>
          <cell r="E456" t="str">
            <v>Jl. Panderman, RT.002/RW.004, Kel. Oro-Oro Ombo, Kec. Batu</v>
          </cell>
          <cell r="F456" t="str">
            <v>Batu</v>
          </cell>
          <cell r="G456" t="str">
            <v>3579013103660002</v>
          </cell>
          <cell r="H456" t="str">
            <v>000000000000000</v>
          </cell>
          <cell r="J456">
            <v>0</v>
          </cell>
          <cell r="K456">
            <v>0</v>
          </cell>
          <cell r="L456">
            <v>0</v>
          </cell>
        </row>
        <row r="457">
          <cell r="B457" t="str">
            <v>GAN28AC</v>
          </cell>
          <cell r="C457" t="str">
            <v>Gangsar Tani/Noto, H</v>
          </cell>
          <cell r="D457" t="str">
            <v>Saan Widiyanto</v>
          </cell>
          <cell r="E457" t="str">
            <v>Jl. WR Supratman, RT.002/RW.004, Kel. Sisir, Kec. Batu</v>
          </cell>
          <cell r="F457" t="str">
            <v>Batu</v>
          </cell>
          <cell r="G457" t="str">
            <v>3579011609650003</v>
          </cell>
          <cell r="H457" t="str">
            <v>000000000000000</v>
          </cell>
          <cell r="J457">
            <v>0</v>
          </cell>
          <cell r="K457">
            <v>0</v>
          </cell>
          <cell r="L457">
            <v>0</v>
          </cell>
        </row>
        <row r="458">
          <cell r="B458" t="str">
            <v>GAN29AC</v>
          </cell>
          <cell r="C458" t="str">
            <v>Gangsar Tani/Noto, H</v>
          </cell>
          <cell r="D458" t="str">
            <v>Sutrisno</v>
          </cell>
          <cell r="E458" t="str">
            <v>JL. Wukir GG 7, RT.005/RW.004, Kel. Temas, Kec. Batu</v>
          </cell>
          <cell r="F458" t="str">
            <v>Batu</v>
          </cell>
          <cell r="G458" t="str">
            <v>3579013101650002</v>
          </cell>
          <cell r="H458" t="str">
            <v>000000000000000</v>
          </cell>
          <cell r="J458">
            <v>0</v>
          </cell>
          <cell r="K458">
            <v>0</v>
          </cell>
          <cell r="L458">
            <v>0</v>
          </cell>
        </row>
        <row r="459">
          <cell r="B459" t="str">
            <v>GAN30AC</v>
          </cell>
          <cell r="C459" t="str">
            <v>Gangsar Tani/Noto, H</v>
          </cell>
          <cell r="D459" t="str">
            <v>Selvianto Ridho</v>
          </cell>
          <cell r="E459" t="str">
            <v>Dsn. Brau, RT.004/RW.010, Kel. Gunungsari, Kec. Bumiaji</v>
          </cell>
          <cell r="F459" t="str">
            <v>Batu</v>
          </cell>
          <cell r="G459" t="str">
            <v>3579021207990001</v>
          </cell>
          <cell r="H459" t="str">
            <v>000000000000000</v>
          </cell>
          <cell r="J459">
            <v>0</v>
          </cell>
          <cell r="K459">
            <v>0</v>
          </cell>
          <cell r="L459">
            <v>0</v>
          </cell>
        </row>
        <row r="460">
          <cell r="B460" t="str">
            <v>GAN31AC</v>
          </cell>
          <cell r="C460" t="str">
            <v>Gangsar Tani/Noto, H</v>
          </cell>
          <cell r="D460" t="str">
            <v>Miskat</v>
          </cell>
          <cell r="E460" t="str">
            <v>Dsn. Ngudi, RT.036/RW.009, Kel. Tawangargo, Kec. Karangploso</v>
          </cell>
          <cell r="F460" t="str">
            <v>Batu</v>
          </cell>
          <cell r="G460" t="str">
            <v>3507232507600001</v>
          </cell>
          <cell r="H460" t="str">
            <v>000000000000000</v>
          </cell>
          <cell r="J460">
            <v>0</v>
          </cell>
          <cell r="K460">
            <v>0</v>
          </cell>
          <cell r="L460">
            <v>0</v>
          </cell>
        </row>
        <row r="461">
          <cell r="B461" t="str">
            <v>GAN32AC</v>
          </cell>
          <cell r="C461" t="str">
            <v>Gangsar Tani/Noto, H</v>
          </cell>
          <cell r="D461" t="str">
            <v>Iswanto</v>
          </cell>
          <cell r="E461" t="str">
            <v>Jl. Apel, RT.001/RW.001, Kel. Oro-Oro Ombo, Kec. Batu</v>
          </cell>
          <cell r="F461" t="str">
            <v>Batu</v>
          </cell>
          <cell r="G461" t="str">
            <v>3579010106670004</v>
          </cell>
          <cell r="H461" t="str">
            <v>000000000000000</v>
          </cell>
          <cell r="J461">
            <v>0</v>
          </cell>
          <cell r="K461">
            <v>0</v>
          </cell>
          <cell r="L461">
            <v>0</v>
          </cell>
        </row>
        <row r="462">
          <cell r="B462" t="str">
            <v>GAN33AC</v>
          </cell>
          <cell r="C462" t="str">
            <v>Gangsar Tani/Noto, H</v>
          </cell>
          <cell r="D462" t="str">
            <v>Abdullah Sidiq</v>
          </cell>
          <cell r="E462" t="str">
            <v>Jl. Lahor No.84, RT.004/RW.012, Kel. Pesanggrahan, Kec. Batu</v>
          </cell>
          <cell r="F462" t="str">
            <v>Batu</v>
          </cell>
          <cell r="G462" t="str">
            <v>3579010406640002</v>
          </cell>
          <cell r="H462" t="str">
            <v>000000000000000</v>
          </cell>
          <cell r="J462">
            <v>0</v>
          </cell>
          <cell r="K462">
            <v>0</v>
          </cell>
          <cell r="L462">
            <v>0</v>
          </cell>
        </row>
        <row r="463">
          <cell r="B463" t="str">
            <v>GAN34AC</v>
          </cell>
          <cell r="C463" t="str">
            <v>Gangsar Tani/Noto, H</v>
          </cell>
          <cell r="D463" t="str">
            <v>Suyono</v>
          </cell>
          <cell r="E463" t="str">
            <v>Pandaan, RT.004/RW.009, Kel. Pandanrejo, Kec. Bumiaji</v>
          </cell>
          <cell r="F463" t="str">
            <v>Batu</v>
          </cell>
          <cell r="G463" t="str">
            <v>3579021112620001</v>
          </cell>
          <cell r="H463" t="str">
            <v>000000000000000</v>
          </cell>
          <cell r="J463">
            <v>0</v>
          </cell>
          <cell r="K463">
            <v>0</v>
          </cell>
          <cell r="L463">
            <v>0</v>
          </cell>
        </row>
        <row r="464">
          <cell r="B464" t="str">
            <v>GAN35AC</v>
          </cell>
          <cell r="C464" t="str">
            <v>Gangsar Tani/Noto, H</v>
          </cell>
          <cell r="D464" t="str">
            <v>Kamari</v>
          </cell>
          <cell r="E464" t="str">
            <v>Dsn. Gesingan, RT.007/RW.003, Kel. Pandesari, Kec. Pujon</v>
          </cell>
          <cell r="F464" t="str">
            <v>Malang</v>
          </cell>
          <cell r="G464" t="str">
            <v>3507260101590010</v>
          </cell>
          <cell r="H464" t="str">
            <v>000000000000000</v>
          </cell>
          <cell r="J464">
            <v>0</v>
          </cell>
          <cell r="K464">
            <v>0</v>
          </cell>
          <cell r="L464">
            <v>0</v>
          </cell>
        </row>
        <row r="465">
          <cell r="B465" t="str">
            <v>GAN37AC</v>
          </cell>
          <cell r="C465" t="str">
            <v>Gangsar Tani/Noto, H</v>
          </cell>
          <cell r="D465" t="str">
            <v>Siswanto</v>
          </cell>
          <cell r="E465" t="str">
            <v>Jl. Kenanga, RT.002/RW.006, Kel. Oro-oro Ombo, Kec. Batu</v>
          </cell>
          <cell r="F465" t="str">
            <v>Batu</v>
          </cell>
          <cell r="G465" t="str">
            <v>3579011307700001</v>
          </cell>
          <cell r="H465" t="str">
            <v>000000000000000</v>
          </cell>
          <cell r="J465">
            <v>0</v>
          </cell>
          <cell r="K465">
            <v>0</v>
          </cell>
          <cell r="L465">
            <v>0</v>
          </cell>
        </row>
        <row r="466">
          <cell r="B466" t="str">
            <v>GAN38AC</v>
          </cell>
          <cell r="C466" t="str">
            <v>Gangsar Tani/Noto, H</v>
          </cell>
          <cell r="D466" t="str">
            <v>Suparman</v>
          </cell>
          <cell r="E466" t="str">
            <v>Desa Sumberejo, RT.003/RW.009, Kel. Sumberejo, Kec. Batu</v>
          </cell>
          <cell r="F466" t="str">
            <v>Batu</v>
          </cell>
          <cell r="G466" t="str">
            <v>3579010607620004</v>
          </cell>
          <cell r="H466" t="str">
            <v>000000000000000</v>
          </cell>
          <cell r="J466">
            <v>0</v>
          </cell>
          <cell r="K466">
            <v>0</v>
          </cell>
          <cell r="L466">
            <v>0</v>
          </cell>
        </row>
        <row r="467">
          <cell r="B467" t="str">
            <v>GAN39AC</v>
          </cell>
          <cell r="C467" t="str">
            <v>Gangsar Tani/Noto, H</v>
          </cell>
          <cell r="D467" t="str">
            <v>Kabul Arifin</v>
          </cell>
          <cell r="E467" t="str">
            <v>Dusun Brau, RT.003/RW.010, Kel. Gunungsari, Kec. Bumiaji</v>
          </cell>
          <cell r="F467" t="str">
            <v>Batu</v>
          </cell>
          <cell r="G467" t="str">
            <v>3507260801730001</v>
          </cell>
          <cell r="H467" t="str">
            <v>000000000000000</v>
          </cell>
          <cell r="J467">
            <v>0</v>
          </cell>
          <cell r="K467">
            <v>0</v>
          </cell>
          <cell r="L467">
            <v>0</v>
          </cell>
        </row>
        <row r="468">
          <cell r="B468" t="str">
            <v>GAN40AC</v>
          </cell>
          <cell r="C468" t="str">
            <v>Gangsar Tani/Noto, H</v>
          </cell>
          <cell r="D468" t="str">
            <v>Poniman</v>
          </cell>
          <cell r="E468" t="str">
            <v>Dsn. Krajan, RT.014/RW.007, Kel. Ngroto, Kec. Pujon</v>
          </cell>
          <cell r="F468" t="str">
            <v>Malang</v>
          </cell>
          <cell r="G468" t="str">
            <v>3507260101650041</v>
          </cell>
          <cell r="H468" t="str">
            <v>000000000000000</v>
          </cell>
          <cell r="J468">
            <v>0</v>
          </cell>
          <cell r="K468">
            <v>0</v>
          </cell>
          <cell r="L468">
            <v>0</v>
          </cell>
        </row>
        <row r="469">
          <cell r="B469" t="str">
            <v>GAN41AC</v>
          </cell>
          <cell r="C469" t="str">
            <v>Gangsar Tani/Noto, H</v>
          </cell>
          <cell r="D469" t="str">
            <v>Fathur Rohman</v>
          </cell>
          <cell r="E469" t="str">
            <v>Jl. Cempaka 70, RT.002/RW.005, Kel. Pesanggrahan, Kec. Batu</v>
          </cell>
          <cell r="F469" t="str">
            <v>Batu</v>
          </cell>
          <cell r="G469" t="str">
            <v>3579012505790006</v>
          </cell>
          <cell r="H469" t="str">
            <v>000000000000000</v>
          </cell>
          <cell r="J469">
            <v>0</v>
          </cell>
          <cell r="K469">
            <v>0</v>
          </cell>
          <cell r="L469">
            <v>0</v>
          </cell>
        </row>
        <row r="470">
          <cell r="B470" t="str">
            <v>GAN42AC</v>
          </cell>
          <cell r="C470" t="str">
            <v>Gangsar Tani/Noto, H</v>
          </cell>
          <cell r="D470" t="str">
            <v>Mislan</v>
          </cell>
          <cell r="E470" t="str">
            <v>Dusun Krajan, RT.002/RW.002, Kel. Oro-Oro Ombo, Kec. Batu</v>
          </cell>
          <cell r="F470" t="str">
            <v>Batu</v>
          </cell>
          <cell r="G470" t="str">
            <v>3579011803670001</v>
          </cell>
          <cell r="H470" t="str">
            <v>000000000000000</v>
          </cell>
          <cell r="J470">
            <v>0</v>
          </cell>
          <cell r="K470">
            <v>0</v>
          </cell>
          <cell r="L470">
            <v>0</v>
          </cell>
        </row>
        <row r="471">
          <cell r="B471" t="str">
            <v>GAN43AC</v>
          </cell>
          <cell r="C471" t="str">
            <v>Gangsar Tani/Noto, H</v>
          </cell>
          <cell r="D471" t="str">
            <v>Nurahman</v>
          </cell>
          <cell r="E471" t="str">
            <v>Desa Sumberejo, RT.004/RW.009, Kel. Sumberejo, Kec. Batu</v>
          </cell>
          <cell r="F471" t="str">
            <v>Batu</v>
          </cell>
          <cell r="G471" t="str">
            <v>3579010104580005</v>
          </cell>
          <cell r="H471" t="str">
            <v>000000000000000</v>
          </cell>
          <cell r="J471">
            <v>0</v>
          </cell>
          <cell r="K471">
            <v>0</v>
          </cell>
          <cell r="L471">
            <v>0</v>
          </cell>
        </row>
        <row r="472">
          <cell r="B472" t="str">
            <v>GAN44AC</v>
          </cell>
          <cell r="C472" t="str">
            <v>Gangsar Tani/Noto, H</v>
          </cell>
          <cell r="D472" t="str">
            <v>Maryono</v>
          </cell>
          <cell r="E472" t="str">
            <v>Jl. Kenanga, RT.002/RW.006, Kel. Oro-oro Ombo, Kec. Batu</v>
          </cell>
          <cell r="F472" t="str">
            <v>Batu</v>
          </cell>
          <cell r="G472" t="str">
            <v>3579013003840001</v>
          </cell>
          <cell r="H472" t="str">
            <v>000000000000000</v>
          </cell>
          <cell r="J472">
            <v>0</v>
          </cell>
          <cell r="K472">
            <v>0</v>
          </cell>
          <cell r="L472">
            <v>0</v>
          </cell>
        </row>
        <row r="473">
          <cell r="B473" t="str">
            <v>GAN45AC</v>
          </cell>
          <cell r="C473" t="str">
            <v>Gangsar Tani/Noto, H</v>
          </cell>
          <cell r="D473" t="str">
            <v>Riyanto</v>
          </cell>
          <cell r="E473" t="str">
            <v>Jl. Kenanga, RT.001/RW.007, Kel. Oro-oro Ombo, Kec. Batu</v>
          </cell>
          <cell r="F473" t="str">
            <v>Batu</v>
          </cell>
          <cell r="G473" t="str">
            <v>3579010105710001</v>
          </cell>
          <cell r="H473" t="str">
            <v>000000000000000</v>
          </cell>
          <cell r="J473">
            <v>0</v>
          </cell>
          <cell r="K473">
            <v>0</v>
          </cell>
          <cell r="L473">
            <v>0</v>
          </cell>
        </row>
        <row r="474">
          <cell r="B474" t="str">
            <v>GAN46AC</v>
          </cell>
          <cell r="C474" t="str">
            <v>Gangsar Tani/Noto, H</v>
          </cell>
          <cell r="D474" t="str">
            <v>Rudianto</v>
          </cell>
          <cell r="E474" t="str">
            <v>Jl. Karyorejo, RT.005/RW.005, Kel. Pesanggrahan, Kec. Batu</v>
          </cell>
          <cell r="F474" t="str">
            <v>Batu</v>
          </cell>
          <cell r="G474" t="str">
            <v>3579011804810003</v>
          </cell>
          <cell r="H474" t="str">
            <v>000000000000000</v>
          </cell>
          <cell r="J474">
            <v>0</v>
          </cell>
          <cell r="K474">
            <v>0</v>
          </cell>
          <cell r="L474">
            <v>0</v>
          </cell>
        </row>
        <row r="475">
          <cell r="B475" t="str">
            <v>GAN47AC</v>
          </cell>
          <cell r="C475" t="str">
            <v>Gangsar Tani/Noto, H</v>
          </cell>
          <cell r="D475" t="str">
            <v>Suratin</v>
          </cell>
          <cell r="E475" t="str">
            <v>Jl. Imam Bonjol I, RT.003/RW.002, Kel. Sisir, Kec. Batu</v>
          </cell>
          <cell r="F475" t="str">
            <v>Batu</v>
          </cell>
          <cell r="G475" t="str">
            <v>3579011807570002</v>
          </cell>
          <cell r="H475" t="str">
            <v>000000000000000</v>
          </cell>
          <cell r="J475">
            <v>0</v>
          </cell>
          <cell r="K475">
            <v>0</v>
          </cell>
          <cell r="L475">
            <v>0</v>
          </cell>
        </row>
        <row r="476">
          <cell r="B476" t="str">
            <v>GAN48AC</v>
          </cell>
          <cell r="C476" t="str">
            <v>Gangsar Tani/Noto, H</v>
          </cell>
          <cell r="D476" t="str">
            <v>Sugeng Riadi</v>
          </cell>
          <cell r="E476" t="str">
            <v>Jl. Jeruk RT.001/RW.002, Kel. Oro-Oro Ombo, Kec. Batu</v>
          </cell>
          <cell r="F476" t="str">
            <v>Batu</v>
          </cell>
          <cell r="G476" t="str">
            <v>3579012101700002</v>
          </cell>
          <cell r="H476" t="str">
            <v>000000000000000</v>
          </cell>
          <cell r="J476">
            <v>0</v>
          </cell>
          <cell r="K476">
            <v>0</v>
          </cell>
          <cell r="L476">
            <v>0</v>
          </cell>
        </row>
        <row r="477">
          <cell r="B477" t="str">
            <v>GAN49AC</v>
          </cell>
          <cell r="C477" t="str">
            <v>Gangsar Tani/Noto, H</v>
          </cell>
          <cell r="D477" t="str">
            <v>Asnadi</v>
          </cell>
          <cell r="E477" t="str">
            <v>Jl. Wukir GG 5, RT.002/RW.002, Kel. Temas, Kec. Batu</v>
          </cell>
          <cell r="F477" t="str">
            <v>Batu</v>
          </cell>
          <cell r="G477" t="str">
            <v>3579010102630003</v>
          </cell>
          <cell r="H477" t="str">
            <v>000000000000000</v>
          </cell>
          <cell r="J477">
            <v>0</v>
          </cell>
          <cell r="K477">
            <v>0</v>
          </cell>
          <cell r="L477">
            <v>0</v>
          </cell>
        </row>
        <row r="478">
          <cell r="B478" t="str">
            <v>GAN50AC</v>
          </cell>
          <cell r="C478" t="str">
            <v>Gangsar Tani/Noto, H</v>
          </cell>
          <cell r="D478" t="str">
            <v>Sunariyah</v>
          </cell>
          <cell r="E478" t="str">
            <v>Jl. Sarimun, RT.002/RW.003, Kel. Beji, Kec. Junrejo</v>
          </cell>
          <cell r="F478" t="str">
            <v>Batu</v>
          </cell>
          <cell r="G478" t="str">
            <v>3579034202660001</v>
          </cell>
          <cell r="H478" t="str">
            <v>000000000000000</v>
          </cell>
          <cell r="J478">
            <v>0</v>
          </cell>
          <cell r="K478">
            <v>0</v>
          </cell>
          <cell r="L478">
            <v>0</v>
          </cell>
        </row>
        <row r="479">
          <cell r="B479" t="str">
            <v>GAN51AC</v>
          </cell>
          <cell r="C479" t="str">
            <v>Gangsar Tani/Noto, H</v>
          </cell>
          <cell r="D479" t="str">
            <v>Sutrisno Buang</v>
          </cell>
          <cell r="E479" t="str">
            <v>Jl. Kenanga, RT.002/RW.006, Kel. Oro-oro Ombo, Kec. Batu</v>
          </cell>
          <cell r="F479" t="str">
            <v>Batu</v>
          </cell>
          <cell r="G479" t="str">
            <v>3579012810580001</v>
          </cell>
          <cell r="H479" t="str">
            <v>000000000000000</v>
          </cell>
          <cell r="J479">
            <v>0</v>
          </cell>
          <cell r="K479">
            <v>0</v>
          </cell>
          <cell r="L479">
            <v>0</v>
          </cell>
        </row>
        <row r="480">
          <cell r="B480" t="str">
            <v>GAN52AC</v>
          </cell>
          <cell r="C480" t="str">
            <v>Gangsar Tani/Noto, H</v>
          </cell>
          <cell r="D480" t="str">
            <v>Kasmuri</v>
          </cell>
          <cell r="E480" t="str">
            <v>Gangsiran Putuk, RT.004/RW.005, Kel. Tlekung, Kec. Junrejo</v>
          </cell>
          <cell r="F480" t="str">
            <v>Batu</v>
          </cell>
          <cell r="G480" t="str">
            <v>3579030108580002</v>
          </cell>
          <cell r="H480" t="str">
            <v>000000000000000</v>
          </cell>
          <cell r="J480">
            <v>0</v>
          </cell>
          <cell r="K480">
            <v>0</v>
          </cell>
          <cell r="L480">
            <v>0</v>
          </cell>
        </row>
        <row r="481">
          <cell r="B481" t="str">
            <v>GAN53AC</v>
          </cell>
          <cell r="C481" t="str">
            <v>Gangsar Tani/Noto, H</v>
          </cell>
          <cell r="D481" t="str">
            <v>Lasim</v>
          </cell>
          <cell r="E481" t="str">
            <v>Dusun Pandan, RT.017/RW.011, Kel. Pandanrejo, Kec. Bumiaji</v>
          </cell>
          <cell r="F481" t="str">
            <v>Batu</v>
          </cell>
          <cell r="G481" t="str">
            <v>3579022406600001</v>
          </cell>
          <cell r="H481" t="str">
            <v>000000000000000</v>
          </cell>
          <cell r="J481">
            <v>0</v>
          </cell>
          <cell r="K481">
            <v>0</v>
          </cell>
          <cell r="L481">
            <v>0</v>
          </cell>
        </row>
        <row r="482">
          <cell r="B482" t="str">
            <v>GAN54AC</v>
          </cell>
          <cell r="C482" t="str">
            <v>Gangsar Tani/Noto, H</v>
          </cell>
          <cell r="D482" t="str">
            <v>Joko Susianto</v>
          </cell>
          <cell r="E482" t="str">
            <v>Desa Sumberejo, RT.002/RW.010, Kel. Sumberejo, Kec. Batu</v>
          </cell>
          <cell r="F482" t="str">
            <v>Batu</v>
          </cell>
          <cell r="G482" t="str">
            <v>3579011909750003</v>
          </cell>
          <cell r="H482" t="str">
            <v>000000000000000</v>
          </cell>
          <cell r="J482">
            <v>0</v>
          </cell>
          <cell r="K482">
            <v>0</v>
          </cell>
          <cell r="L482">
            <v>0</v>
          </cell>
        </row>
        <row r="483">
          <cell r="B483" t="str">
            <v>GAN55AC</v>
          </cell>
          <cell r="C483" t="str">
            <v>Gangsar Tani/Noto, H</v>
          </cell>
          <cell r="D483" t="str">
            <v>Lasmadi</v>
          </cell>
          <cell r="E483" t="str">
            <v>Jl. Mawar, RT.003/RW.009, Kel. Oro-Oro Ombo, Kec. Batu</v>
          </cell>
          <cell r="F483" t="str">
            <v>Batu</v>
          </cell>
          <cell r="G483" t="str">
            <v>3579011611730001</v>
          </cell>
          <cell r="H483" t="str">
            <v>000000000000000</v>
          </cell>
          <cell r="J483">
            <v>0</v>
          </cell>
          <cell r="K483">
            <v>0</v>
          </cell>
          <cell r="L483">
            <v>0</v>
          </cell>
        </row>
        <row r="484">
          <cell r="B484" t="str">
            <v>GAN56AC</v>
          </cell>
          <cell r="C484" t="str">
            <v>Gangsar Tani/Noto, H</v>
          </cell>
          <cell r="D484" t="str">
            <v>Mulyono</v>
          </cell>
          <cell r="E484" t="str">
            <v>Jl. Patimura VII No. 77, RT.004/RW.007, Kel. Temas, Kec. Batu</v>
          </cell>
          <cell r="F484" t="str">
            <v>Batu</v>
          </cell>
          <cell r="G484" t="str">
            <v>3579012401750001</v>
          </cell>
          <cell r="H484" t="str">
            <v>000000000000000</v>
          </cell>
          <cell r="J484">
            <v>0</v>
          </cell>
          <cell r="K484">
            <v>0</v>
          </cell>
          <cell r="L484">
            <v>0</v>
          </cell>
        </row>
        <row r="485">
          <cell r="B485" t="str">
            <v>GAN57AC</v>
          </cell>
          <cell r="C485" t="str">
            <v>Gangsar Tani/Noto, H</v>
          </cell>
          <cell r="D485" t="str">
            <v>Suparni</v>
          </cell>
          <cell r="E485" t="str">
            <v>Dsn. Sembon, RT.001/RW.002, Kel. Sembon, Kec. Karangrejo</v>
          </cell>
          <cell r="F485" t="str">
            <v>Tulungagung</v>
          </cell>
          <cell r="G485" t="str">
            <v>3504082312640004</v>
          </cell>
          <cell r="H485" t="str">
            <v>000000000000000</v>
          </cell>
          <cell r="J485">
            <v>0</v>
          </cell>
          <cell r="K485">
            <v>0</v>
          </cell>
          <cell r="L485">
            <v>0</v>
          </cell>
        </row>
        <row r="486">
          <cell r="B486" t="str">
            <v>GAS01AC</v>
          </cell>
          <cell r="C486" t="str">
            <v>Gasar Tani/Warno</v>
          </cell>
          <cell r="D486" t="str">
            <v>Kholid Mawardi</v>
          </cell>
          <cell r="E486" t="str">
            <v>Dr Wahidin SHD IA, RT.001/RW.005, Kel. Kebomas Kec. Kebomas</v>
          </cell>
          <cell r="F486" t="str">
            <v>Gresik</v>
          </cell>
          <cell r="G486" t="str">
            <v>3525141304870005</v>
          </cell>
          <cell r="H486" t="str">
            <v>000000000000000</v>
          </cell>
          <cell r="I486" t="str">
            <v>T acak</v>
          </cell>
          <cell r="J486">
            <v>46955999.999917701</v>
          </cell>
          <cell r="K486">
            <v>0</v>
          </cell>
          <cell r="L486">
            <v>46955999.999917701</v>
          </cell>
        </row>
        <row r="487">
          <cell r="B487" t="str">
            <v>GUD02AC</v>
          </cell>
          <cell r="C487" t="str">
            <v>Gudang Barokah/Ishak</v>
          </cell>
          <cell r="D487" t="str">
            <v>Sawito Supriyadi</v>
          </cell>
          <cell r="E487" t="str">
            <v>Dusun Talang, RT.002/RW.002, Kel. Selogudig Wetan, Kec. Pajarakan</v>
          </cell>
          <cell r="F487" t="str">
            <v>Probolinggo</v>
          </cell>
          <cell r="G487" t="str">
            <v>3513160107340011</v>
          </cell>
          <cell r="H487" t="str">
            <v>000000000000000</v>
          </cell>
          <cell r="J487">
            <v>25903999.999835603</v>
          </cell>
          <cell r="K487">
            <v>0</v>
          </cell>
          <cell r="L487">
            <v>25903999.999835603</v>
          </cell>
        </row>
        <row r="488">
          <cell r="B488" t="str">
            <v>GUD03AC</v>
          </cell>
          <cell r="C488" t="str">
            <v>Gudang Barokah/Ishak</v>
          </cell>
          <cell r="D488" t="str">
            <v>Haris Diansyah</v>
          </cell>
          <cell r="E488" t="str">
            <v>Dusun Asam, RT.002/RW.004, Kel. Selogudig Wetan, Kec. Pajarakan</v>
          </cell>
          <cell r="F488" t="str">
            <v>Probolinggo</v>
          </cell>
          <cell r="G488" t="str">
            <v>3513162308700001</v>
          </cell>
          <cell r="H488" t="str">
            <v>000000000000000</v>
          </cell>
          <cell r="J488">
            <v>12103039.999654401</v>
          </cell>
          <cell r="K488">
            <v>0</v>
          </cell>
          <cell r="L488">
            <v>12103039.999654401</v>
          </cell>
        </row>
        <row r="489">
          <cell r="B489" t="str">
            <v>GUD04AC</v>
          </cell>
          <cell r="C489" t="str">
            <v>Gudang Barokah/Ishak</v>
          </cell>
          <cell r="D489" t="str">
            <v>Misti</v>
          </cell>
          <cell r="E489" t="str">
            <v>Dusun Krajan 2, RT.004, Kel. Selogudig Wetan, Kec, Pajarakan</v>
          </cell>
          <cell r="F489" t="str">
            <v>Probolinggo</v>
          </cell>
          <cell r="G489" t="str">
            <v>3513164107570040</v>
          </cell>
          <cell r="H489" t="str">
            <v>000000000000000</v>
          </cell>
          <cell r="J489">
            <v>25600000</v>
          </cell>
          <cell r="K489">
            <v>0</v>
          </cell>
          <cell r="L489">
            <v>25600000</v>
          </cell>
        </row>
        <row r="490">
          <cell r="B490" t="str">
            <v>GUD05AC</v>
          </cell>
          <cell r="C490" t="str">
            <v>Gudang Barokah/Ishak</v>
          </cell>
          <cell r="D490" t="str">
            <v>Satiman</v>
          </cell>
          <cell r="E490" t="str">
            <v>Dusun Asam, RT.005/RW.004, Kel. Selogudig Wetan, Kec. Pajarakan</v>
          </cell>
          <cell r="F490" t="str">
            <v>Probolinggo</v>
          </cell>
          <cell r="G490" t="str">
            <v>3513160107580011</v>
          </cell>
          <cell r="H490" t="str">
            <v>000000000000000</v>
          </cell>
          <cell r="J490">
            <v>21360000</v>
          </cell>
          <cell r="K490">
            <v>0</v>
          </cell>
          <cell r="L490">
            <v>21360000</v>
          </cell>
        </row>
        <row r="491">
          <cell r="B491" t="str">
            <v>GUD06AC</v>
          </cell>
          <cell r="C491" t="str">
            <v>Gudang Barokah/Ishak</v>
          </cell>
          <cell r="D491" t="str">
            <v>Sulusia</v>
          </cell>
          <cell r="E491" t="str">
            <v>Dusun Asam, RT.001/RW.004, Kel. Selogudig Wetan, Kec. Pajarakan</v>
          </cell>
          <cell r="F491" t="str">
            <v>Probolinggo</v>
          </cell>
          <cell r="G491" t="str">
            <v>3513165604740007</v>
          </cell>
          <cell r="H491" t="str">
            <v>000000000000000</v>
          </cell>
          <cell r="J491">
            <v>19408000</v>
          </cell>
          <cell r="K491">
            <v>0</v>
          </cell>
          <cell r="L491">
            <v>19408000</v>
          </cell>
        </row>
        <row r="492">
          <cell r="B492" t="str">
            <v>GUD07AC</v>
          </cell>
          <cell r="C492" t="str">
            <v>Gudang Barokah/Ishak</v>
          </cell>
          <cell r="D492" t="str">
            <v>Mohammad Aksin</v>
          </cell>
          <cell r="E492" t="str">
            <v>Dusun Asam, RT.001/RW.004, Kel. Selogudig Wetan, Kec. Pajarakan</v>
          </cell>
          <cell r="F492" t="str">
            <v>Probolinggo</v>
          </cell>
          <cell r="G492" t="str">
            <v>3513160102680003</v>
          </cell>
          <cell r="H492" t="str">
            <v>000000000000000</v>
          </cell>
          <cell r="J492">
            <v>7680000</v>
          </cell>
          <cell r="K492">
            <v>0</v>
          </cell>
          <cell r="L492">
            <v>7680000</v>
          </cell>
        </row>
        <row r="493">
          <cell r="B493" t="str">
            <v>GUD08AC</v>
          </cell>
          <cell r="C493" t="str">
            <v>Gudang Barokah/Ishak</v>
          </cell>
          <cell r="D493" t="str">
            <v>Lukman Nur Hikman</v>
          </cell>
          <cell r="E493" t="str">
            <v>Dusun Krajan 2, RT.003/RW.001, Kel. Selogudig Wetan, Kec. Pajarakan</v>
          </cell>
          <cell r="F493" t="str">
            <v>Probolinggo</v>
          </cell>
          <cell r="G493" t="str">
            <v>3513162810900003</v>
          </cell>
          <cell r="H493" t="str">
            <v>000000000000000</v>
          </cell>
          <cell r="J493">
            <v>7680000</v>
          </cell>
          <cell r="K493">
            <v>0</v>
          </cell>
          <cell r="L493">
            <v>7680000</v>
          </cell>
        </row>
        <row r="494">
          <cell r="B494" t="str">
            <v>GUD10AC</v>
          </cell>
          <cell r="C494" t="str">
            <v>Gudang Barokah/Ishak</v>
          </cell>
          <cell r="D494" t="str">
            <v>Hasan</v>
          </cell>
          <cell r="E494" t="str">
            <v>Dusun Asam, RT.003/RW.004, Kel. Selogudig Wetan, Kec. Pajarakan</v>
          </cell>
          <cell r="F494" t="str">
            <v>Probolinggo</v>
          </cell>
          <cell r="G494" t="str">
            <v>3513161102690003</v>
          </cell>
          <cell r="H494" t="str">
            <v>000000000000000</v>
          </cell>
          <cell r="J494">
            <v>25311999.999731202</v>
          </cell>
          <cell r="K494">
            <v>0</v>
          </cell>
          <cell r="L494">
            <v>25311999.999731202</v>
          </cell>
        </row>
        <row r="495">
          <cell r="B495" t="str">
            <v>GUD11AC</v>
          </cell>
          <cell r="C495" t="str">
            <v>Gudang Barokah/Ishak</v>
          </cell>
          <cell r="D495" t="str">
            <v>Buhami</v>
          </cell>
          <cell r="E495" t="str">
            <v>Dusun Krajan II, RT.001/RW.001, Kel. Selogudig Wetan, Kec. Pajarakan</v>
          </cell>
          <cell r="F495" t="str">
            <v>Probolinggo</v>
          </cell>
          <cell r="G495" t="str">
            <v>3513164908660003</v>
          </cell>
          <cell r="H495" t="str">
            <v>000000000000000</v>
          </cell>
          <cell r="J495">
            <v>15839999.999788802</v>
          </cell>
          <cell r="K495">
            <v>0</v>
          </cell>
          <cell r="L495">
            <v>15839999.999788802</v>
          </cell>
        </row>
        <row r="496">
          <cell r="B496" t="str">
            <v>GUD12AC</v>
          </cell>
          <cell r="C496" t="str">
            <v>Gudang Barokah/Ishak</v>
          </cell>
          <cell r="D496" t="str">
            <v>Rosidi</v>
          </cell>
          <cell r="E496" t="str">
            <v>Dusun Asam, RT.002/RW.004, Kel. Selogudig Wetan, Kec. Pajarakan</v>
          </cell>
          <cell r="F496" t="str">
            <v>Probolinggo</v>
          </cell>
          <cell r="G496" t="str">
            <v>3513160909700002</v>
          </cell>
          <cell r="H496" t="str">
            <v>000000000000000</v>
          </cell>
          <cell r="J496">
            <v>8079999.9998454005</v>
          </cell>
          <cell r="K496">
            <v>0</v>
          </cell>
          <cell r="L496">
            <v>8079999.9998454005</v>
          </cell>
        </row>
        <row r="497">
          <cell r="B497" t="str">
            <v>GUD13AC</v>
          </cell>
          <cell r="C497" t="str">
            <v>Gudang Barokah/Ishak</v>
          </cell>
          <cell r="D497" t="str">
            <v>Edi Siswanto</v>
          </cell>
          <cell r="E497" t="str">
            <v>Dusun Asam, RT.005/RW.004, Kel. Selogudig Wetan, Kec. Pajarakan</v>
          </cell>
          <cell r="F497" t="str">
            <v>Probolinggo</v>
          </cell>
          <cell r="G497" t="str">
            <v>3513160206830005</v>
          </cell>
          <cell r="H497" t="str">
            <v>000000000000000</v>
          </cell>
          <cell r="J497">
            <v>7680000</v>
          </cell>
          <cell r="K497">
            <v>0</v>
          </cell>
          <cell r="L497">
            <v>7680000</v>
          </cell>
        </row>
        <row r="498">
          <cell r="B498" t="str">
            <v>HADI01AC</v>
          </cell>
          <cell r="C498" t="str">
            <v>Hadi/Garuda Sarana Agro, CV</v>
          </cell>
          <cell r="D498" t="str">
            <v>Darmi</v>
          </cell>
          <cell r="E498" t="str">
            <v>Jln. Cimuk LK. IV, Kel. Sei Merbau, Kec. Teluk Nibung</v>
          </cell>
          <cell r="F498" t="str">
            <v>Tanjung Balai</v>
          </cell>
          <cell r="G498" t="str">
            <v>1274044901720002</v>
          </cell>
          <cell r="H498" t="str">
            <v>000000000000000</v>
          </cell>
          <cell r="I498" t="str">
            <v>8 Masagro, PT = Hadi/Garuda Sarana Agro, CV</v>
          </cell>
          <cell r="J498">
            <v>0</v>
          </cell>
          <cell r="K498">
            <v>0</v>
          </cell>
          <cell r="L498">
            <v>0</v>
          </cell>
        </row>
        <row r="499">
          <cell r="B499" t="str">
            <v>HADI02AC</v>
          </cell>
          <cell r="C499" t="str">
            <v>Hadi/Garuda Sarana Agro, CV</v>
          </cell>
          <cell r="D499" t="str">
            <v>Liza Khairani</v>
          </cell>
          <cell r="E499" t="str">
            <v>Jln. Letjed. Suprapto LK. IV, Kel. Matahalasan, Kec. Tanjungbalai Utara</v>
          </cell>
          <cell r="F499" t="str">
            <v>Tanjung Balai</v>
          </cell>
          <cell r="G499" t="str">
            <v>1274024202930004</v>
          </cell>
          <cell r="H499" t="str">
            <v>000000000000000</v>
          </cell>
          <cell r="J499">
            <v>0</v>
          </cell>
          <cell r="K499">
            <v>0</v>
          </cell>
          <cell r="L499">
            <v>0</v>
          </cell>
        </row>
        <row r="500">
          <cell r="B500" t="str">
            <v>HADI03AC</v>
          </cell>
          <cell r="C500" t="str">
            <v>Hadi/Garuda Sarana Agro, CV</v>
          </cell>
          <cell r="D500" t="str">
            <v>Yanto</v>
          </cell>
          <cell r="E500" t="str">
            <v>I.R Pedatuan Darat, RT.008/003, Kel. 12 Ulu, Kec. Seberang Ulu II</v>
          </cell>
          <cell r="F500" t="str">
            <v>Palembang</v>
          </cell>
          <cell r="G500" t="str">
            <v>1671033012770013</v>
          </cell>
          <cell r="H500" t="str">
            <v>000000000000000</v>
          </cell>
          <cell r="J500">
            <v>0</v>
          </cell>
          <cell r="K500">
            <v>0</v>
          </cell>
          <cell r="L500">
            <v>0</v>
          </cell>
        </row>
        <row r="501">
          <cell r="B501" t="str">
            <v>HADI04AC</v>
          </cell>
          <cell r="C501" t="str">
            <v>Hadi/Garuda Sarana Agro, CV</v>
          </cell>
          <cell r="D501" t="str">
            <v>Ade Suryadi</v>
          </cell>
          <cell r="E501" t="str">
            <v>Jl. SH. Wardoyo LR. Kencana III, RT.015/RW.003, Kel. 5 Ulu, Kec. Seberang Ulu I</v>
          </cell>
          <cell r="F501" t="str">
            <v>Palembang</v>
          </cell>
          <cell r="G501" t="str">
            <v>1671020301940009</v>
          </cell>
          <cell r="H501" t="str">
            <v>000000000000000</v>
          </cell>
          <cell r="J501">
            <v>0</v>
          </cell>
          <cell r="K501">
            <v>0</v>
          </cell>
          <cell r="L501">
            <v>0</v>
          </cell>
        </row>
        <row r="502">
          <cell r="B502" t="str">
            <v>HADI05AC</v>
          </cell>
          <cell r="C502" t="str">
            <v>Hadi/Garuda Sarana Agro, CV</v>
          </cell>
          <cell r="D502" t="str">
            <v>Eka Nurachman</v>
          </cell>
          <cell r="E502" t="str">
            <v>Kel. Air Bang, RT.007/RW.003, Kel. Air Bang, Kec. Curup Tengah</v>
          </cell>
          <cell r="F502" t="str">
            <v>Rejang Lebong</v>
          </cell>
          <cell r="G502" t="str">
            <v>1702190904900002</v>
          </cell>
          <cell r="H502" t="str">
            <v>000000000000000</v>
          </cell>
          <cell r="J502">
            <v>0</v>
          </cell>
          <cell r="K502">
            <v>0</v>
          </cell>
          <cell r="L502">
            <v>0</v>
          </cell>
        </row>
        <row r="503">
          <cell r="B503" t="str">
            <v>HADI06AC</v>
          </cell>
          <cell r="C503" t="str">
            <v>Hadi/Garuda Sarana Agro, CV</v>
          </cell>
          <cell r="D503" t="str">
            <v>Misnanto</v>
          </cell>
          <cell r="E503" t="str">
            <v>Jl. Pancasila, RT.005/RW.002, Kecl. Sako Baru, Kec. Sako</v>
          </cell>
          <cell r="F503" t="str">
            <v>Palembang</v>
          </cell>
          <cell r="G503" t="str">
            <v>1671081107900003</v>
          </cell>
          <cell r="H503" t="str">
            <v>000000000000000</v>
          </cell>
          <cell r="J503">
            <v>0</v>
          </cell>
          <cell r="K503">
            <v>0</v>
          </cell>
          <cell r="L503">
            <v>0</v>
          </cell>
        </row>
        <row r="504">
          <cell r="B504" t="str">
            <v>HADI07AC</v>
          </cell>
          <cell r="C504" t="str">
            <v>Hadi/Garuda Sarana Agro, CV</v>
          </cell>
          <cell r="D504" t="str">
            <v>Syahril</v>
          </cell>
          <cell r="E504" t="str">
            <v>Komplek Perumahan Rakyat 2 No. 787, RT.022/RW.003, Kel. Sei Buah, Kec. Ilir Timur II</v>
          </cell>
          <cell r="F504" t="str">
            <v>Palembang</v>
          </cell>
          <cell r="G504" t="str">
            <v>1671062712680007</v>
          </cell>
          <cell r="H504" t="str">
            <v>000000000000000</v>
          </cell>
          <cell r="J504">
            <v>0</v>
          </cell>
          <cell r="K504">
            <v>0</v>
          </cell>
          <cell r="L504">
            <v>0</v>
          </cell>
        </row>
        <row r="505">
          <cell r="B505" t="str">
            <v>HADI08AC</v>
          </cell>
          <cell r="C505" t="str">
            <v>Hadi/Garuda Sarana Agro, CV</v>
          </cell>
          <cell r="D505" t="str">
            <v>Muhammad Okta Apriyanto</v>
          </cell>
          <cell r="E505" t="str">
            <v>Jl. Pangkalan Benteng, RT.022/RW.008, Kel. Talangbetutu, Kec. Sukarami</v>
          </cell>
          <cell r="F505" t="str">
            <v>Palembang</v>
          </cell>
          <cell r="G505" t="str">
            <v>1671041610950005</v>
          </cell>
          <cell r="H505" t="str">
            <v>000000000000000</v>
          </cell>
          <cell r="J505">
            <v>0</v>
          </cell>
          <cell r="K505">
            <v>0</v>
          </cell>
          <cell r="L505">
            <v>0</v>
          </cell>
        </row>
        <row r="506">
          <cell r="B506" t="str">
            <v>HADI09AC</v>
          </cell>
          <cell r="C506" t="str">
            <v>Hadi/Garuda Sarana Agro, CV</v>
          </cell>
          <cell r="D506" t="str">
            <v>Ambar Risdianto</v>
          </cell>
          <cell r="E506" t="str">
            <v>Cempaka Dalam GG Arena No. 26 A, RT.014/RW.004, Kel. 26 Ilir, Kec. Bukit Kecil</v>
          </cell>
          <cell r="F506" t="str">
            <v>Palembang</v>
          </cell>
          <cell r="G506" t="str">
            <v>1671110401610003</v>
          </cell>
          <cell r="H506" t="str">
            <v>000000000000000</v>
          </cell>
          <cell r="J506">
            <v>0</v>
          </cell>
          <cell r="K506">
            <v>0</v>
          </cell>
          <cell r="L506">
            <v>0</v>
          </cell>
        </row>
        <row r="507">
          <cell r="B507" t="str">
            <v>TERA01AC</v>
          </cell>
          <cell r="C507" t="str">
            <v>Harapan Terang/Heri</v>
          </cell>
          <cell r="D507" t="str">
            <v>Kasdi</v>
          </cell>
          <cell r="E507" t="str">
            <v>Dsn Waru, RT.003/RW.004, Kel. Cepokorejo, Kec. Palang</v>
          </cell>
          <cell r="F507" t="str">
            <v>Tuban</v>
          </cell>
          <cell r="G507" t="str">
            <v>3523182505740008</v>
          </cell>
          <cell r="H507" t="str">
            <v>000000000000000</v>
          </cell>
          <cell r="J507">
            <v>48239999.999882199</v>
          </cell>
          <cell r="K507">
            <v>0</v>
          </cell>
          <cell r="L507">
            <v>48239999.999882199</v>
          </cell>
        </row>
        <row r="508">
          <cell r="B508" t="str">
            <v>HARI01AC</v>
          </cell>
          <cell r="C508" t="str">
            <v>Hariyono Sby</v>
          </cell>
          <cell r="D508" t="str">
            <v>Suhartini</v>
          </cell>
          <cell r="E508" t="str">
            <v>Dusun Bongso Kulon No.50, RT.001/RW.001, Kel. Pengalangan, Kec. Menganti</v>
          </cell>
          <cell r="F508" t="str">
            <v>Gresik</v>
          </cell>
          <cell r="G508" t="str">
            <v>3525134206850001</v>
          </cell>
          <cell r="H508" t="str">
            <v>000000000000000</v>
          </cell>
          <cell r="I508" t="str">
            <v>Acak Per september 2024</v>
          </cell>
          <cell r="J508">
            <v>38599999.99969399</v>
          </cell>
          <cell r="K508">
            <v>0</v>
          </cell>
          <cell r="L508">
            <v>38599999.99969399</v>
          </cell>
        </row>
        <row r="509">
          <cell r="B509" t="str">
            <v>HARI02AC</v>
          </cell>
          <cell r="C509" t="str">
            <v>Hariyono Sby</v>
          </cell>
          <cell r="D509" t="str">
            <v>Nurul Anam</v>
          </cell>
          <cell r="E509" t="str">
            <v>Dsn Kanigoro, RT.010/RW.003, Kel. Keboharan, Kec. Krian</v>
          </cell>
          <cell r="F509" t="str">
            <v>Sidoharjo</v>
          </cell>
          <cell r="G509" t="str">
            <v>3515110101730023</v>
          </cell>
          <cell r="H509" t="str">
            <v>000000000000000</v>
          </cell>
          <cell r="J509">
            <v>5599999.9999499992</v>
          </cell>
          <cell r="K509">
            <v>0</v>
          </cell>
          <cell r="L509">
            <v>5599999.9999499992</v>
          </cell>
        </row>
        <row r="510">
          <cell r="B510" t="str">
            <v>HARI03AC</v>
          </cell>
          <cell r="C510" t="str">
            <v>Hariyono Sby</v>
          </cell>
          <cell r="D510" t="str">
            <v>M Salahudin Al Ayyubi</v>
          </cell>
          <cell r="E510" t="str">
            <v>DK. Kukun, RT.001/RW.005, Babat Jerawat</v>
          </cell>
          <cell r="F510" t="str">
            <v>Surabaya</v>
          </cell>
          <cell r="G510" t="str">
            <v>3578300301980001</v>
          </cell>
          <cell r="H510" t="str">
            <v>000000000000000</v>
          </cell>
          <cell r="J510">
            <v>5599999.9999499992</v>
          </cell>
          <cell r="K510">
            <v>0</v>
          </cell>
          <cell r="L510">
            <v>5599999.9999499992</v>
          </cell>
        </row>
        <row r="511">
          <cell r="B511" t="str">
            <v>HEFN01AC</v>
          </cell>
          <cell r="C511" t="str">
            <v>Hefni/Bayer</v>
          </cell>
          <cell r="D511" t="str">
            <v>Zaenal Arifin</v>
          </cell>
          <cell r="E511" t="str">
            <v>Dusun Kantong, RT.003/RW.001, Kemiri, Panti</v>
          </cell>
          <cell r="F511" t="str">
            <v>Jember</v>
          </cell>
          <cell r="G511" t="str">
            <v>3509140610710001</v>
          </cell>
          <cell r="H511" t="str">
            <v>000000000000000</v>
          </cell>
          <cell r="I511" t="str">
            <v>dulu Hefni/BASF</v>
          </cell>
          <cell r="J511">
            <v>56416000</v>
          </cell>
          <cell r="K511">
            <v>0</v>
          </cell>
          <cell r="L511">
            <v>56416000</v>
          </cell>
        </row>
        <row r="512">
          <cell r="B512" t="str">
            <v>HENG01AC</v>
          </cell>
          <cell r="C512" t="str">
            <v>Hengki/Branita</v>
          </cell>
          <cell r="D512" t="str">
            <v>Katno</v>
          </cell>
          <cell r="E512" t="str">
            <v>Jl. Banda RT.02/RW.02, Nambak, Bungkal</v>
          </cell>
          <cell r="F512" t="str">
            <v>Ponorogo</v>
          </cell>
          <cell r="G512" t="str">
            <v>3502031004770001</v>
          </cell>
          <cell r="H512" t="str">
            <v>000000000000000</v>
          </cell>
          <cell r="J512">
            <v>0</v>
          </cell>
          <cell r="K512">
            <v>0</v>
          </cell>
          <cell r="L512">
            <v>0</v>
          </cell>
        </row>
        <row r="513">
          <cell r="B513" t="str">
            <v>HENG02AC</v>
          </cell>
          <cell r="C513" t="str">
            <v>Hengki/Branita</v>
          </cell>
          <cell r="D513" t="str">
            <v>Miswanto</v>
          </cell>
          <cell r="E513" t="str">
            <v>Dukuh Pramben, RT.02 / RW.01, Ronosentanan, Siman</v>
          </cell>
          <cell r="F513" t="str">
            <v>Ponorogo</v>
          </cell>
          <cell r="G513" t="str">
            <v>3502102612780002</v>
          </cell>
          <cell r="H513" t="str">
            <v>000000000000000</v>
          </cell>
          <cell r="J513">
            <v>0</v>
          </cell>
          <cell r="K513">
            <v>0</v>
          </cell>
          <cell r="L513">
            <v>0</v>
          </cell>
        </row>
        <row r="514">
          <cell r="B514" t="str">
            <v>HENG03AC</v>
          </cell>
          <cell r="C514" t="str">
            <v>Hengki/Branita</v>
          </cell>
          <cell r="D514" t="str">
            <v>Mohammad Asmui, H</v>
          </cell>
          <cell r="E514" t="str">
            <v>Dsn. Cermenan RT.02/RW.02, Sugihwaras, Ngoro</v>
          </cell>
          <cell r="F514" t="str">
            <v>Jombang</v>
          </cell>
          <cell r="G514" t="str">
            <v>3517031404660002</v>
          </cell>
          <cell r="H514" t="str">
            <v>000000000000000</v>
          </cell>
          <cell r="J514">
            <v>0</v>
          </cell>
          <cell r="K514">
            <v>0</v>
          </cell>
          <cell r="L514">
            <v>0</v>
          </cell>
        </row>
        <row r="515">
          <cell r="B515" t="str">
            <v>HENG04AC</v>
          </cell>
          <cell r="C515" t="str">
            <v>Hengki/Branita</v>
          </cell>
          <cell r="D515" t="str">
            <v>Gunawan</v>
          </cell>
          <cell r="E515" t="str">
            <v>Dusun Gondang RT.03/ RW.01 Ngampel, Papar</v>
          </cell>
          <cell r="F515" t="str">
            <v>Kediri</v>
          </cell>
          <cell r="G515" t="str">
            <v>3506140603700002</v>
          </cell>
          <cell r="H515" t="str">
            <v>000000000000000</v>
          </cell>
          <cell r="J515">
            <v>0</v>
          </cell>
          <cell r="K515">
            <v>0</v>
          </cell>
          <cell r="L515">
            <v>0</v>
          </cell>
        </row>
        <row r="516">
          <cell r="B516" t="str">
            <v>HENG05AC</v>
          </cell>
          <cell r="C516" t="str">
            <v>Hengki/Branita</v>
          </cell>
          <cell r="D516" t="str">
            <v>Sudarto, SP</v>
          </cell>
          <cell r="E516" t="str">
            <v>Tengaran RT.011/RW.04, Tengaran, Peterongan</v>
          </cell>
          <cell r="F516" t="str">
            <v>Jombang</v>
          </cell>
          <cell r="G516" t="str">
            <v>3517101402700004</v>
          </cell>
          <cell r="H516" t="str">
            <v>000000000000000</v>
          </cell>
          <cell r="I516" t="str">
            <v>jangan dipakai, masuk kode SUDA07</v>
          </cell>
          <cell r="J516">
            <v>0</v>
          </cell>
          <cell r="K516">
            <v>0</v>
          </cell>
          <cell r="L516">
            <v>0</v>
          </cell>
        </row>
        <row r="517">
          <cell r="B517" t="str">
            <v>HENG06AC</v>
          </cell>
          <cell r="C517" t="str">
            <v>Hengki/Branita</v>
          </cell>
          <cell r="D517" t="str">
            <v>Samsul Huda</v>
          </cell>
          <cell r="E517" t="str">
            <v>Dsn. Slombok RT.01/RW.02, Plemahan, Sumobito</v>
          </cell>
          <cell r="F517" t="str">
            <v>Jombang</v>
          </cell>
          <cell r="G517" t="str">
            <v>3517110706760002</v>
          </cell>
          <cell r="H517" t="str">
            <v>000000000000000</v>
          </cell>
          <cell r="J517">
            <v>0</v>
          </cell>
          <cell r="K517">
            <v>0</v>
          </cell>
          <cell r="L517">
            <v>0</v>
          </cell>
        </row>
        <row r="518">
          <cell r="B518" t="str">
            <v>HENG07AC</v>
          </cell>
          <cell r="C518" t="str">
            <v>Hengki/Branita</v>
          </cell>
          <cell r="D518" t="str">
            <v>Sugeng Harianto</v>
          </cell>
          <cell r="E518" t="str">
            <v>Dsn. Kedungwangi RT.01/RW.06, Gedangan, Kutorejo</v>
          </cell>
          <cell r="F518" t="str">
            <v>Mojokerto</v>
          </cell>
          <cell r="G518" t="str">
            <v>3516072906680002</v>
          </cell>
          <cell r="H518" t="str">
            <v>000000000000000</v>
          </cell>
          <cell r="J518">
            <v>0</v>
          </cell>
          <cell r="K518">
            <v>0</v>
          </cell>
          <cell r="L518">
            <v>0</v>
          </cell>
        </row>
        <row r="519">
          <cell r="B519" t="str">
            <v>HENG08AC</v>
          </cell>
          <cell r="C519" t="str">
            <v>Hengki/Branita</v>
          </cell>
          <cell r="D519" t="str">
            <v>Zulkarnain</v>
          </cell>
          <cell r="E519" t="str">
            <v>Dsn. Pucanggro RT.3/RW.2, Pucangro, Gudo</v>
          </cell>
          <cell r="F519" t="str">
            <v>Jombang</v>
          </cell>
          <cell r="G519" t="str">
            <v>3517020101850001</v>
          </cell>
          <cell r="H519" t="str">
            <v>000000000000000</v>
          </cell>
          <cell r="J519">
            <v>0</v>
          </cell>
          <cell r="K519">
            <v>0</v>
          </cell>
          <cell r="L519">
            <v>0</v>
          </cell>
        </row>
        <row r="520">
          <cell r="B520" t="str">
            <v>HENG09AC</v>
          </cell>
          <cell r="C520" t="str">
            <v>Hengki/Branita</v>
          </cell>
          <cell r="D520" t="str">
            <v>Sunyoto</v>
          </cell>
          <cell r="E520" t="str">
            <v>Jl. Krakatau RT.2/RW.8, Pelem, Pare</v>
          </cell>
          <cell r="F520" t="str">
            <v>Kediri</v>
          </cell>
          <cell r="G520" t="str">
            <v>3506171303670003</v>
          </cell>
          <cell r="H520" t="str">
            <v>000000000000000</v>
          </cell>
          <cell r="J520">
            <v>0</v>
          </cell>
          <cell r="K520">
            <v>0</v>
          </cell>
          <cell r="L520">
            <v>0</v>
          </cell>
        </row>
        <row r="521">
          <cell r="B521" t="str">
            <v>HENG10AC</v>
          </cell>
          <cell r="C521" t="str">
            <v>Hengki/Branita</v>
          </cell>
          <cell r="D521" t="str">
            <v xml:space="preserve">Samuit </v>
          </cell>
          <cell r="E521" t="str">
            <v>Dsn. Sentulan RT.14/RW3, Bongkot, Peterongan</v>
          </cell>
          <cell r="F521" t="str">
            <v>Jombang</v>
          </cell>
          <cell r="G521" t="str">
            <v>3517102508580001</v>
          </cell>
          <cell r="H521" t="str">
            <v>000000000000000</v>
          </cell>
          <cell r="J521">
            <v>0</v>
          </cell>
          <cell r="K521">
            <v>0</v>
          </cell>
          <cell r="L521">
            <v>0</v>
          </cell>
        </row>
        <row r="522">
          <cell r="B522" t="str">
            <v>HENG11AC</v>
          </cell>
          <cell r="C522" t="str">
            <v>Hengki/Branita</v>
          </cell>
          <cell r="D522" t="str">
            <v>Sodin</v>
          </cell>
          <cell r="E522" t="str">
            <v>Ngasinan RT.3/RW.10, Kempleng, Purwoasri</v>
          </cell>
          <cell r="F522" t="str">
            <v>Kediri</v>
          </cell>
          <cell r="G522" t="str">
            <v>3506151611680001</v>
          </cell>
          <cell r="H522" t="str">
            <v>000000000000000</v>
          </cell>
          <cell r="J522">
            <v>0</v>
          </cell>
          <cell r="K522">
            <v>0</v>
          </cell>
          <cell r="L522">
            <v>0</v>
          </cell>
        </row>
        <row r="523">
          <cell r="B523" t="str">
            <v>HENG12AC</v>
          </cell>
          <cell r="C523" t="str">
            <v>Hengki/Branita</v>
          </cell>
          <cell r="D523" t="str">
            <v>Sutrisno</v>
          </cell>
          <cell r="E523" t="str">
            <v>Dsn. Jatirejo, RT.2/RW.6, Payaman, Plemahan</v>
          </cell>
          <cell r="F523" t="str">
            <v>Kediri</v>
          </cell>
          <cell r="G523" t="str">
            <v>3506160202670001</v>
          </cell>
          <cell r="H523" t="str">
            <v>000000000000000</v>
          </cell>
          <cell r="J523">
            <v>0</v>
          </cell>
          <cell r="K523">
            <v>0</v>
          </cell>
          <cell r="L523">
            <v>0</v>
          </cell>
        </row>
        <row r="524">
          <cell r="B524" t="str">
            <v>HENR01AC</v>
          </cell>
          <cell r="C524" t="str">
            <v>Henry Aditanzil Sugianto</v>
          </cell>
          <cell r="D524" t="str">
            <v>Henry Aditanzil</v>
          </cell>
          <cell r="E524" t="str">
            <v>Jl. Niaga 26, RT.002/RW.002, Kel.Barurambat Kota, Kec. Pamekasan</v>
          </cell>
          <cell r="F524" t="str">
            <v>Pamekasan</v>
          </cell>
          <cell r="G524" t="str">
            <v>3528042710800004</v>
          </cell>
          <cell r="H524" t="str">
            <v>000000000000000</v>
          </cell>
          <cell r="I524" t="str">
            <v>Ada NPWP an.  PT. Bumi Ayu Sejati</v>
          </cell>
          <cell r="J524">
            <v>0</v>
          </cell>
          <cell r="K524">
            <v>0</v>
          </cell>
          <cell r="L524">
            <v>0</v>
          </cell>
        </row>
        <row r="525">
          <cell r="B525" t="str">
            <v>HIDAY01AC</v>
          </cell>
          <cell r="C525" t="str">
            <v>Hidayat Tani, UD</v>
          </cell>
          <cell r="D525" t="str">
            <v>Muhrim</v>
          </cell>
          <cell r="E525" t="str">
            <v>Ampan, Kel. Sikur, Kec. Sikur</v>
          </cell>
          <cell r="F525" t="str">
            <v>Lombok Timur</v>
          </cell>
          <cell r="G525" t="str">
            <v>5203040107600739</v>
          </cell>
          <cell r="H525" t="str">
            <v>000000000000000</v>
          </cell>
          <cell r="I525" t="str">
            <v>Heri Sulistiani = satura tani</v>
          </cell>
          <cell r="J525">
            <v>80241599.998494595</v>
          </cell>
          <cell r="K525">
            <v>0</v>
          </cell>
          <cell r="L525">
            <v>80241599.998494595</v>
          </cell>
        </row>
        <row r="526">
          <cell r="B526" t="str">
            <v>HIDAY02AC</v>
          </cell>
          <cell r="C526" t="str">
            <v>Hidayat Tani, UD</v>
          </cell>
          <cell r="D526" t="str">
            <v>Husni, S.E</v>
          </cell>
          <cell r="E526" t="str">
            <v>Marang Selatan, Kel. Kotaraja, Kec. Sikur</v>
          </cell>
          <cell r="F526" t="str">
            <v>Lombok Timur</v>
          </cell>
          <cell r="G526" t="str">
            <v>5203041009820004</v>
          </cell>
          <cell r="H526" t="str">
            <v>000000000000000</v>
          </cell>
          <cell r="J526">
            <v>62699999.999718502</v>
          </cell>
          <cell r="K526">
            <v>0</v>
          </cell>
          <cell r="L526">
            <v>62699999.999718502</v>
          </cell>
        </row>
        <row r="527">
          <cell r="B527" t="str">
            <v>HIDAY03AC</v>
          </cell>
          <cell r="C527" t="str">
            <v>Hidayat Tani, UD</v>
          </cell>
          <cell r="D527" t="str">
            <v>Ijun Ardias</v>
          </cell>
          <cell r="E527" t="str">
            <v>Mangkung, Kel. Sikur, Kec. Sikur</v>
          </cell>
          <cell r="F527" t="str">
            <v>Lombok Timur</v>
          </cell>
          <cell r="G527" t="str">
            <v>5203041406930001</v>
          </cell>
          <cell r="H527" t="str">
            <v>000000000000000</v>
          </cell>
          <cell r="J527">
            <v>94875999.999109998</v>
          </cell>
          <cell r="K527">
            <v>0</v>
          </cell>
          <cell r="L527">
            <v>94875999.999109998</v>
          </cell>
        </row>
        <row r="528">
          <cell r="B528" t="str">
            <v>HIDAY04AC</v>
          </cell>
          <cell r="C528" t="str">
            <v>Hidayat Tani, UD</v>
          </cell>
          <cell r="D528" t="str">
            <v>Erni Azmatul Laily</v>
          </cell>
          <cell r="E528" t="str">
            <v>Karang Anyar, Kel. Sikur, Kec. Sikur</v>
          </cell>
          <cell r="F528" t="str">
            <v>Lombok Timur</v>
          </cell>
          <cell r="G528" t="str">
            <v>5203045202950002</v>
          </cell>
          <cell r="H528" t="str">
            <v>000000000000000</v>
          </cell>
          <cell r="J528">
            <v>53655999.999531999</v>
          </cell>
          <cell r="K528">
            <v>0</v>
          </cell>
          <cell r="L528">
            <v>53655999.999531999</v>
          </cell>
        </row>
        <row r="529">
          <cell r="B529" t="str">
            <v>HIDAY05AC</v>
          </cell>
          <cell r="C529" t="str">
            <v>Hidayat Tani, UD</v>
          </cell>
          <cell r="D529" t="str">
            <v>Lalu Zainudin Habib Rahman</v>
          </cell>
          <cell r="E529" t="str">
            <v>Dasan Has, Kel. Sakra, Kec. Sakra</v>
          </cell>
          <cell r="F529" t="str">
            <v>Lombok Timur</v>
          </cell>
          <cell r="G529" t="str">
            <v>5203020107990774</v>
          </cell>
          <cell r="H529" t="str">
            <v>000000000000000</v>
          </cell>
          <cell r="I529" t="str">
            <v>HIDAY06AC dipakai an :Febrisnaini Heryan, S.P</v>
          </cell>
          <cell r="J529">
            <v>57567999.999834999</v>
          </cell>
          <cell r="K529">
            <v>0</v>
          </cell>
          <cell r="L529">
            <v>57567999.999834999</v>
          </cell>
        </row>
        <row r="530">
          <cell r="B530" t="str">
            <v>HIDAY07AC</v>
          </cell>
          <cell r="C530" t="str">
            <v>Hidayat Tani, UD</v>
          </cell>
          <cell r="D530" t="str">
            <v>Mawardi</v>
          </cell>
          <cell r="E530" t="str">
            <v>Lendang Penyonggok, RT.000/RW.000, Kel. Tetebatu Selatan, Kec. Sikur</v>
          </cell>
          <cell r="F530" t="str">
            <v>Lombok Timur</v>
          </cell>
          <cell r="G530" t="str">
            <v>5203040107790613</v>
          </cell>
          <cell r="H530" t="str">
            <v>000000000000000</v>
          </cell>
          <cell r="J530">
            <v>78923999.999531999</v>
          </cell>
          <cell r="K530">
            <v>0</v>
          </cell>
          <cell r="L530">
            <v>78923999.999531999</v>
          </cell>
        </row>
        <row r="531">
          <cell r="B531" t="str">
            <v>HIDAY08AC</v>
          </cell>
          <cell r="C531" t="str">
            <v>Hidayat Tani, UD</v>
          </cell>
          <cell r="D531" t="str">
            <v>Marsah</v>
          </cell>
          <cell r="E531" t="str">
            <v>Lingkok Marang, RT.000/RW.000, Kel. Kotaraja, Kec. Sikur</v>
          </cell>
          <cell r="F531" t="str">
            <v>Lombok Timur</v>
          </cell>
          <cell r="G531" t="str">
            <v>5203043112850392</v>
          </cell>
          <cell r="H531" t="str">
            <v>000000000000000</v>
          </cell>
          <cell r="J531">
            <v>90127999.999292016</v>
          </cell>
          <cell r="K531">
            <v>0</v>
          </cell>
          <cell r="L531">
            <v>90127999.999292016</v>
          </cell>
        </row>
        <row r="532">
          <cell r="B532" t="str">
            <v>HIDAY09AC</v>
          </cell>
          <cell r="C532" t="str">
            <v>Hidayat Tani, UD</v>
          </cell>
          <cell r="D532" t="str">
            <v>Herman Fauzi</v>
          </cell>
          <cell r="E532" t="str">
            <v>Lendang Penyonggok, RT.000/RW.000, Kel. Tetebatu Selatan, Kec. Sikur</v>
          </cell>
          <cell r="F532" t="str">
            <v>Lombok Timur</v>
          </cell>
          <cell r="G532" t="str">
            <v>5203040506900003</v>
          </cell>
          <cell r="H532" t="str">
            <v>000000000000000</v>
          </cell>
          <cell r="J532">
            <v>96235999.999658003</v>
          </cell>
          <cell r="K532">
            <v>0</v>
          </cell>
          <cell r="L532">
            <v>96235999.999658003</v>
          </cell>
        </row>
        <row r="533">
          <cell r="B533" t="str">
            <v>HIDAY10AC</v>
          </cell>
          <cell r="C533" t="str">
            <v>Hidayat Tani, UD</v>
          </cell>
          <cell r="D533" t="str">
            <v>Lalu Nasruddin</v>
          </cell>
          <cell r="E533" t="str">
            <v>Lekong Pituk, RT.001/RW.001, Kel. Tetebatu Selatan, Kec. Sikur</v>
          </cell>
          <cell r="F533" t="str">
            <v>Lombok Timur</v>
          </cell>
          <cell r="G533" t="str">
            <v>5203041212800011</v>
          </cell>
          <cell r="H533" t="str">
            <v>000000000000000</v>
          </cell>
          <cell r="J533">
            <v>48960000</v>
          </cell>
          <cell r="K533">
            <v>0</v>
          </cell>
          <cell r="L533">
            <v>48960000</v>
          </cell>
        </row>
        <row r="534">
          <cell r="B534" t="str">
            <v>HIDAY11AC</v>
          </cell>
          <cell r="C534" t="str">
            <v>Hidayat Tani, UD</v>
          </cell>
          <cell r="D534" t="str">
            <v>Maksum</v>
          </cell>
          <cell r="E534" t="str">
            <v>Montong Men, Kel. Tetebatu Selatan, Kec. Sikur</v>
          </cell>
          <cell r="F534" t="str">
            <v>Lombok Timur</v>
          </cell>
          <cell r="G534" t="str">
            <v>5203040107640326</v>
          </cell>
          <cell r="H534" t="str">
            <v>000000000000000</v>
          </cell>
          <cell r="J534">
            <v>39575999.999458</v>
          </cell>
          <cell r="K534">
            <v>0</v>
          </cell>
          <cell r="L534">
            <v>39575999.999458</v>
          </cell>
        </row>
        <row r="535">
          <cell r="B535" t="str">
            <v>HIDAY12AC</v>
          </cell>
          <cell r="C535" t="str">
            <v>Hidayat Tani, UD</v>
          </cell>
          <cell r="D535" t="str">
            <v>Sabli</v>
          </cell>
          <cell r="E535" t="str">
            <v>Montong Men, RT.001/RW.004, Kel. Tetebatu Selatan, Kec. Sikur</v>
          </cell>
          <cell r="F535" t="str">
            <v>Lombok Timur</v>
          </cell>
          <cell r="G535" t="str">
            <v>5203042210700001</v>
          </cell>
          <cell r="H535" t="str">
            <v>000000000000000</v>
          </cell>
          <cell r="J535">
            <v>48671999.999791197</v>
          </cell>
          <cell r="K535">
            <v>0</v>
          </cell>
          <cell r="L535">
            <v>48671999.999791197</v>
          </cell>
        </row>
        <row r="536">
          <cell r="B536" t="str">
            <v>HIDAY13AC</v>
          </cell>
          <cell r="C536" t="str">
            <v>Hidayat Tani, UD</v>
          </cell>
          <cell r="D536" t="str">
            <v>Martini</v>
          </cell>
          <cell r="E536" t="str">
            <v>Lendang Penyonggok, RT.004/RW.004, Kel. Tetebatu Selatan, Kec. Sikur</v>
          </cell>
          <cell r="F536" t="str">
            <v>Lombok Timur</v>
          </cell>
          <cell r="G536" t="str">
            <v>5203044807890001</v>
          </cell>
          <cell r="H536" t="str">
            <v>000000000000000</v>
          </cell>
          <cell r="J536">
            <v>55079999.999480002</v>
          </cell>
          <cell r="K536">
            <v>0</v>
          </cell>
          <cell r="L536">
            <v>55079999.999480002</v>
          </cell>
        </row>
        <row r="537">
          <cell r="B537" t="str">
            <v>IKHL01AC</v>
          </cell>
          <cell r="C537" t="str">
            <v>Ikhlas Tani, UD</v>
          </cell>
          <cell r="D537" t="str">
            <v>H. Syeh Mulahela</v>
          </cell>
          <cell r="E537" t="str">
            <v>Lingkungan Pohdana, RT.012/RW.003, Kel. Gerung Utara, Kec. Gerung</v>
          </cell>
          <cell r="F537" t="str">
            <v>Lombok Barat</v>
          </cell>
          <cell r="G537" t="str">
            <v>5201012108560001</v>
          </cell>
          <cell r="H537" t="str">
            <v>000000000000000</v>
          </cell>
          <cell r="J537">
            <v>79979999.999168992</v>
          </cell>
          <cell r="K537">
            <v>0</v>
          </cell>
          <cell r="L537">
            <v>79979999.999168992</v>
          </cell>
        </row>
        <row r="538">
          <cell r="B538" t="str">
            <v>IKHL02AC</v>
          </cell>
          <cell r="C538" t="str">
            <v>Ikhlas Tani, UD</v>
          </cell>
          <cell r="D538" t="str">
            <v>Ummu Farwa</v>
          </cell>
          <cell r="E538" t="str">
            <v>Lingkungan Pohdana, RT.012/RW.003, Kel. Gerung Utara, Kec. Gerung</v>
          </cell>
          <cell r="F538" t="str">
            <v>Lombok Barat</v>
          </cell>
          <cell r="G538" t="str">
            <v>5271016312990001</v>
          </cell>
          <cell r="H538" t="str">
            <v>000000000000000</v>
          </cell>
          <cell r="J538">
            <v>76223999.999766007</v>
          </cell>
          <cell r="K538">
            <v>0</v>
          </cell>
          <cell r="L538">
            <v>76223999.999766007</v>
          </cell>
        </row>
        <row r="539">
          <cell r="B539" t="str">
            <v>IKHL03AC</v>
          </cell>
          <cell r="C539" t="str">
            <v>Ikhlas Tani, UD</v>
          </cell>
          <cell r="D539" t="str">
            <v>Fauzi</v>
          </cell>
          <cell r="E539" t="str">
            <v>Dusun Batu Mulik Karang Tengah, RT.000/RW.000, Kel. Gapuk, Kec. Gerung</v>
          </cell>
          <cell r="F539" t="str">
            <v>Lombok Barat</v>
          </cell>
          <cell r="G539" t="str">
            <v>5201012312700002</v>
          </cell>
          <cell r="H539" t="str">
            <v>000000000000000</v>
          </cell>
          <cell r="J539">
            <v>69243999.999566004</v>
          </cell>
          <cell r="K539">
            <v>0</v>
          </cell>
          <cell r="L539">
            <v>69243999.999566004</v>
          </cell>
        </row>
        <row r="540">
          <cell r="B540" t="str">
            <v>IKHL04AC</v>
          </cell>
          <cell r="C540" t="str">
            <v>Ikhlas Tani, UD</v>
          </cell>
          <cell r="D540" t="str">
            <v>Kamaludin</v>
          </cell>
          <cell r="E540" t="str">
            <v>Dusun Bongor, RT.007/RW.000, Kel. Taman Ayu, Kec. Gerung</v>
          </cell>
          <cell r="F540" t="str">
            <v>Lombok Barat</v>
          </cell>
          <cell r="G540" t="str">
            <v>5201010107710063</v>
          </cell>
          <cell r="H540" t="str">
            <v>000000000000000</v>
          </cell>
          <cell r="J540">
            <v>69075999.999867797</v>
          </cell>
          <cell r="K540">
            <v>0</v>
          </cell>
          <cell r="L540">
            <v>69075999.999867797</v>
          </cell>
        </row>
        <row r="541">
          <cell r="B541" t="str">
            <v>IKHL05AC</v>
          </cell>
          <cell r="C541" t="str">
            <v>Ikhlas Tani, UD</v>
          </cell>
          <cell r="D541" t="str">
            <v>Hardian</v>
          </cell>
          <cell r="E541" t="str">
            <v>Dusun Batu Mulik Kr. Tengah, RT.003/RW.000, Kel. Gapuk, Kec. Gerung</v>
          </cell>
          <cell r="F541" t="str">
            <v>Lombok Barat</v>
          </cell>
          <cell r="G541" t="str">
            <v>5201010107750367</v>
          </cell>
          <cell r="H541" t="str">
            <v>000000000000000</v>
          </cell>
          <cell r="J541">
            <v>93663999.999967992</v>
          </cell>
          <cell r="K541">
            <v>0</v>
          </cell>
          <cell r="L541">
            <v>93663999.999967992</v>
          </cell>
        </row>
        <row r="542">
          <cell r="B542" t="str">
            <v>IKHL06AC</v>
          </cell>
          <cell r="C542" t="str">
            <v>Ikhlas Tani, UD</v>
          </cell>
          <cell r="D542" t="str">
            <v>Nurul Hikmah</v>
          </cell>
          <cell r="E542" t="str">
            <v>Dusun Batu Mulik Kr. Tengah, RT.003/RW.000, Kel. Gapuk, Kec. Gerung</v>
          </cell>
          <cell r="F542" t="str">
            <v>Lombok Barat</v>
          </cell>
          <cell r="G542" t="str">
            <v>5201016505840002</v>
          </cell>
          <cell r="H542" t="str">
            <v>000000000000000</v>
          </cell>
          <cell r="J542">
            <v>66900000</v>
          </cell>
          <cell r="K542">
            <v>0</v>
          </cell>
          <cell r="L542">
            <v>66900000</v>
          </cell>
        </row>
        <row r="543">
          <cell r="B543" t="str">
            <v>IKHL07AC</v>
          </cell>
          <cell r="C543" t="str">
            <v>Ikhlas Tani, UD</v>
          </cell>
          <cell r="D543" t="str">
            <v>Sanusi</v>
          </cell>
          <cell r="E543" t="str">
            <v>Batu Mulik Dusun Batu Mulik, RT.010/RW.002, Kel. Gapuk, Kec. Gerung</v>
          </cell>
          <cell r="F543" t="str">
            <v>Lombok Barat</v>
          </cell>
          <cell r="G543" t="str">
            <v>5201010107770456</v>
          </cell>
          <cell r="H543" t="str">
            <v>000000000000000</v>
          </cell>
          <cell r="J543">
            <v>95408000</v>
          </cell>
          <cell r="K543">
            <v>0</v>
          </cell>
          <cell r="L543">
            <v>95408000</v>
          </cell>
        </row>
        <row r="544">
          <cell r="B544" t="str">
            <v>IKHL08AC</v>
          </cell>
          <cell r="C544" t="str">
            <v>Ikhlas Tani, UD</v>
          </cell>
          <cell r="D544" t="str">
            <v>M. Nasir</v>
          </cell>
          <cell r="E544" t="str">
            <v>Pelah, Kel. Mareje Timur, Kec. Lembar</v>
          </cell>
          <cell r="F544" t="str">
            <v>Lombok Barat</v>
          </cell>
          <cell r="G544" t="str">
            <v>5201132512820001</v>
          </cell>
          <cell r="H544" t="str">
            <v>000000000000000</v>
          </cell>
          <cell r="J544">
            <v>104608000</v>
          </cell>
          <cell r="K544">
            <v>0</v>
          </cell>
          <cell r="L544">
            <v>104608000</v>
          </cell>
        </row>
        <row r="545">
          <cell r="B545" t="str">
            <v>IKHL10AC</v>
          </cell>
          <cell r="C545" t="str">
            <v>Ikhlas Tani, UD</v>
          </cell>
          <cell r="D545" t="str">
            <v>Siti Wardiah</v>
          </cell>
          <cell r="E545" t="str">
            <v>Dusun Batu Mulya, RT.002/RW.000, Kel. Gapuk, Kec. Gerung</v>
          </cell>
          <cell r="F545" t="str">
            <v>Lombok Barat</v>
          </cell>
          <cell r="G545" t="str">
            <v>5201014107920387</v>
          </cell>
          <cell r="H545" t="str">
            <v>000000000000000</v>
          </cell>
          <cell r="J545">
            <v>74615999.999473795</v>
          </cell>
          <cell r="K545">
            <v>0</v>
          </cell>
          <cell r="L545">
            <v>74615999.999473795</v>
          </cell>
        </row>
        <row r="546">
          <cell r="B546" t="str">
            <v>IKHL11AC</v>
          </cell>
          <cell r="C546" t="str">
            <v>Ikhlas Tani, UD</v>
          </cell>
          <cell r="D546" t="str">
            <v>Hajah Patimah</v>
          </cell>
          <cell r="E546" t="str">
            <v>Batu Mulik Dusun Batu Mulik, RT.013/RW.000, Kel. Gapuk, Kec. Gerung</v>
          </cell>
          <cell r="F546" t="str">
            <v>Lombok Barat</v>
          </cell>
          <cell r="G546" t="str">
            <v>5201014107520022</v>
          </cell>
          <cell r="H546" t="str">
            <v>000000000000000</v>
          </cell>
          <cell r="J546">
            <v>74543999.9997724</v>
          </cell>
          <cell r="K546">
            <v>0</v>
          </cell>
          <cell r="L546">
            <v>74543999.9997724</v>
          </cell>
        </row>
        <row r="547">
          <cell r="B547" t="str">
            <v>IKHL12AC</v>
          </cell>
          <cell r="C547" t="str">
            <v>Ikhlas Tani, UD</v>
          </cell>
          <cell r="D547" t="str">
            <v>Haji Mahdan</v>
          </cell>
          <cell r="E547" t="str">
            <v>Dusun Batu Mulya, RT.000/RW.000, Kel. Gapuk, Kec. Gerung</v>
          </cell>
          <cell r="F547" t="str">
            <v>Lombok Barat</v>
          </cell>
          <cell r="G547" t="str">
            <v>5201012308800002</v>
          </cell>
          <cell r="H547" t="str">
            <v>000000000000000</v>
          </cell>
          <cell r="J547">
            <v>61223199.999921396</v>
          </cell>
          <cell r="K547">
            <v>0</v>
          </cell>
          <cell r="L547">
            <v>61223199.999921396</v>
          </cell>
        </row>
        <row r="548">
          <cell r="B548" t="str">
            <v>IKHL13AC</v>
          </cell>
          <cell r="C548" t="str">
            <v>Ikhlas Tani, UD</v>
          </cell>
          <cell r="D548" t="str">
            <v>Zaenudin</v>
          </cell>
          <cell r="E548" t="str">
            <v>Dusun Batu Mulik, RT.013/RW.003, Kel. Gapuk, Kec. Gerung</v>
          </cell>
          <cell r="F548" t="str">
            <v>Lombok Barat</v>
          </cell>
          <cell r="G548" t="str">
            <v>5201010107760210</v>
          </cell>
          <cell r="H548" t="str">
            <v>000000000000000</v>
          </cell>
          <cell r="J548">
            <v>60028799.999924198</v>
          </cell>
          <cell r="K548">
            <v>0</v>
          </cell>
          <cell r="L548">
            <v>60028799.999924198</v>
          </cell>
        </row>
        <row r="549">
          <cell r="B549" t="str">
            <v>IKHL14AC</v>
          </cell>
          <cell r="C549" t="str">
            <v>Ikhlas Tani, UD</v>
          </cell>
          <cell r="D549" t="str">
            <v>Mahni</v>
          </cell>
          <cell r="E549" t="str">
            <v>Dusun Batu Mulik, RT.013/RW.003, Kel. Gapuk, Kec. Gerung</v>
          </cell>
          <cell r="F549" t="str">
            <v>Lombok Barat</v>
          </cell>
          <cell r="G549" t="str">
            <v>5201017112660123</v>
          </cell>
          <cell r="H549" t="str">
            <v>000000000000000</v>
          </cell>
          <cell r="J549">
            <v>72144000</v>
          </cell>
          <cell r="K549">
            <v>0</v>
          </cell>
          <cell r="L549">
            <v>72144000</v>
          </cell>
        </row>
        <row r="550">
          <cell r="B550" t="str">
            <v>IMAM13AC</v>
          </cell>
          <cell r="C550" t="str">
            <v>Imam Ali Saputro</v>
          </cell>
          <cell r="D550" t="str">
            <v>Imam Ali Saputro</v>
          </cell>
          <cell r="E550" t="str">
            <v>Grojogan, RT.003 / RW.005, Kel. Kalang, Kec. Pitu</v>
          </cell>
          <cell r="F550" t="str">
            <v>Ngawi</v>
          </cell>
          <cell r="G550" t="str">
            <v>3521161801980001</v>
          </cell>
          <cell r="H550" t="str">
            <v>000000000000000</v>
          </cell>
          <cell r="J550">
            <v>0</v>
          </cell>
          <cell r="K550">
            <v>0</v>
          </cell>
          <cell r="L550">
            <v>0</v>
          </cell>
        </row>
        <row r="551">
          <cell r="B551" t="str">
            <v>FAUJ01AC</v>
          </cell>
          <cell r="C551" t="str">
            <v>Imam, UD</v>
          </cell>
          <cell r="D551" t="str">
            <v>Abdolah</v>
          </cell>
          <cell r="E551" t="str">
            <v>Ncera, RT.003/RW.004, Kel. Ncera, Kec. Belo</v>
          </cell>
          <cell r="F551" t="str">
            <v>Bima</v>
          </cell>
          <cell r="G551" t="str">
            <v>5206040807761099</v>
          </cell>
          <cell r="H551" t="str">
            <v>000000000000000</v>
          </cell>
          <cell r="I551" t="str">
            <v>NIK kurang jelas</v>
          </cell>
          <cell r="J551">
            <v>0</v>
          </cell>
          <cell r="K551">
            <v>0</v>
          </cell>
          <cell r="L551">
            <v>0</v>
          </cell>
        </row>
        <row r="552">
          <cell r="B552" t="str">
            <v>FAUJ02AC</v>
          </cell>
          <cell r="C552" t="str">
            <v>Imam, UD</v>
          </cell>
          <cell r="D552" t="str">
            <v>Aminah</v>
          </cell>
          <cell r="E552" t="str">
            <v>Ncera, RT.003/RW.006, Kel. Ncera, Kec. Belo</v>
          </cell>
          <cell r="F552" t="str">
            <v>Bima</v>
          </cell>
          <cell r="G552" t="str">
            <v>5206046306850001</v>
          </cell>
          <cell r="H552" t="str">
            <v>000000000000000</v>
          </cell>
          <cell r="J552">
            <v>0</v>
          </cell>
          <cell r="K552">
            <v>0</v>
          </cell>
          <cell r="L552">
            <v>0</v>
          </cell>
        </row>
        <row r="553">
          <cell r="B553" t="str">
            <v>FAUJ03AC</v>
          </cell>
          <cell r="C553" t="str">
            <v>Imam, UD</v>
          </cell>
          <cell r="D553" t="str">
            <v>Juharni</v>
          </cell>
          <cell r="E553" t="str">
            <v>Dsn La Raji, RT.001/RW.001, Kel. Diha, Kec. Belo</v>
          </cell>
          <cell r="F553" t="str">
            <v>Bima</v>
          </cell>
          <cell r="G553" t="str">
            <v>5206044103781004</v>
          </cell>
          <cell r="H553" t="str">
            <v>000000000000000</v>
          </cell>
          <cell r="J553">
            <v>0</v>
          </cell>
          <cell r="K553">
            <v>0</v>
          </cell>
          <cell r="L553">
            <v>0</v>
          </cell>
        </row>
        <row r="554">
          <cell r="B554" t="str">
            <v>FAUJ04AC</v>
          </cell>
          <cell r="C554" t="str">
            <v>Imam, UD</v>
          </cell>
          <cell r="D554" t="str">
            <v>Amliati</v>
          </cell>
          <cell r="E554" t="str">
            <v>Ncera, RT.001/RW.002, Kel. Ncera, Kec. Belo</v>
          </cell>
          <cell r="F554" t="str">
            <v>Bima</v>
          </cell>
          <cell r="G554" t="str">
            <v>5206047112740030</v>
          </cell>
          <cell r="H554" t="str">
            <v>000000000000000</v>
          </cell>
          <cell r="J554">
            <v>0</v>
          </cell>
          <cell r="K554">
            <v>0</v>
          </cell>
          <cell r="L554">
            <v>0</v>
          </cell>
        </row>
        <row r="555">
          <cell r="B555" t="str">
            <v>FAUJ05AC</v>
          </cell>
          <cell r="C555" t="str">
            <v>Imam, UD</v>
          </cell>
          <cell r="D555" t="str">
            <v>Mardan</v>
          </cell>
          <cell r="E555" t="str">
            <v>Jl. Lintas Tente Karumbu, RT,017/RW,007, Kel. Ncera, Kec. Belo</v>
          </cell>
          <cell r="F555" t="str">
            <v>Bima</v>
          </cell>
          <cell r="G555" t="str">
            <v>5206046411960001</v>
          </cell>
          <cell r="H555" t="str">
            <v>000000000000000</v>
          </cell>
          <cell r="J555">
            <v>0</v>
          </cell>
          <cell r="K555">
            <v>0</v>
          </cell>
          <cell r="L555">
            <v>0</v>
          </cell>
        </row>
        <row r="556">
          <cell r="B556" t="str">
            <v>FAUJ06AC</v>
          </cell>
          <cell r="C556" t="str">
            <v>Imam, UD</v>
          </cell>
          <cell r="D556" t="str">
            <v>Arbiah</v>
          </cell>
          <cell r="E556" t="str">
            <v>Jln. Lintas Tente Karumbu, RT,001/RW,002, Kel. Ncera, Kec. Belo</v>
          </cell>
          <cell r="F556" t="str">
            <v>Bima</v>
          </cell>
          <cell r="G556" t="str">
            <v>5206046602880001</v>
          </cell>
          <cell r="H556" t="str">
            <v>000000000000000</v>
          </cell>
          <cell r="J556">
            <v>0</v>
          </cell>
          <cell r="K556">
            <v>0</v>
          </cell>
          <cell r="L556">
            <v>0</v>
          </cell>
        </row>
        <row r="557">
          <cell r="B557" t="str">
            <v>FAUJ07AC</v>
          </cell>
          <cell r="C557" t="str">
            <v>Imam, UD</v>
          </cell>
          <cell r="D557" t="str">
            <v>Rukmini</v>
          </cell>
          <cell r="E557" t="str">
            <v>Ncera, RT,003/RW,005, Kel. Ncera, Kec. Belo</v>
          </cell>
          <cell r="F557" t="str">
            <v>Bima</v>
          </cell>
          <cell r="G557" t="str">
            <v>5206046412640001</v>
          </cell>
          <cell r="H557" t="str">
            <v>000000000000000</v>
          </cell>
          <cell r="J557">
            <v>0</v>
          </cell>
          <cell r="K557">
            <v>0</v>
          </cell>
          <cell r="L557">
            <v>0</v>
          </cell>
        </row>
        <row r="558">
          <cell r="B558" t="str">
            <v>FAUJ08AC</v>
          </cell>
          <cell r="C558" t="str">
            <v>Imam, UD</v>
          </cell>
          <cell r="D558" t="str">
            <v>Sakinah</v>
          </cell>
          <cell r="E558" t="str">
            <v>Ncera, RT,006/RW,003, Kel. Ncera, Kec. Belo</v>
          </cell>
          <cell r="F558" t="str">
            <v>Bima</v>
          </cell>
          <cell r="G558" t="str">
            <v>5206045203850001</v>
          </cell>
          <cell r="H558" t="str">
            <v>000000000000000</v>
          </cell>
          <cell r="J558">
            <v>0</v>
          </cell>
          <cell r="K558">
            <v>0</v>
          </cell>
          <cell r="L558">
            <v>0</v>
          </cell>
        </row>
        <row r="559">
          <cell r="B559" t="str">
            <v>FAUJ09AC</v>
          </cell>
          <cell r="C559" t="str">
            <v>Imam, UD</v>
          </cell>
          <cell r="D559" t="str">
            <v>Samsidah</v>
          </cell>
          <cell r="E559" t="str">
            <v>Jln. Lintas Tente Karumbu, RT,001/RW,001, Kel. Diha, Kec. Belo</v>
          </cell>
          <cell r="F559" t="str">
            <v>Bima</v>
          </cell>
          <cell r="G559" t="str">
            <v>3275054603810020</v>
          </cell>
          <cell r="H559" t="str">
            <v>000000000000000</v>
          </cell>
          <cell r="J559">
            <v>0</v>
          </cell>
          <cell r="K559">
            <v>0</v>
          </cell>
          <cell r="L559">
            <v>0</v>
          </cell>
        </row>
        <row r="560">
          <cell r="B560" t="str">
            <v>FAUJ10AC</v>
          </cell>
          <cell r="C560" t="str">
            <v>Imam, UD</v>
          </cell>
          <cell r="D560" t="str">
            <v>Nuraena</v>
          </cell>
          <cell r="E560" t="str">
            <v>Jln. Lintas Karumbu, RT,001/RW,001, Kel. Diha, Kec. Belo</v>
          </cell>
          <cell r="F560" t="str">
            <v>Bima</v>
          </cell>
          <cell r="G560" t="str">
            <v>5206045303850001</v>
          </cell>
          <cell r="H560" t="str">
            <v>000000000000000</v>
          </cell>
          <cell r="J560">
            <v>0</v>
          </cell>
          <cell r="K560">
            <v>0</v>
          </cell>
          <cell r="L560">
            <v>0</v>
          </cell>
        </row>
        <row r="561">
          <cell r="B561" t="str">
            <v>FAUJ11AC</v>
          </cell>
          <cell r="C561" t="str">
            <v>Imam, UD</v>
          </cell>
          <cell r="D561" t="str">
            <v>Mukminah</v>
          </cell>
          <cell r="E561" t="str">
            <v>Jln. Lintas Tente Karumbu, RT,001/RW,007, Kel. Ncera, Kec. Belo</v>
          </cell>
          <cell r="F561" t="str">
            <v>Bima</v>
          </cell>
          <cell r="G561" t="str">
            <v>5206046312710001</v>
          </cell>
          <cell r="H561" t="str">
            <v>000000000000000</v>
          </cell>
          <cell r="J561">
            <v>0</v>
          </cell>
          <cell r="K561">
            <v>0</v>
          </cell>
          <cell r="L561">
            <v>0</v>
          </cell>
        </row>
        <row r="562">
          <cell r="B562" t="str">
            <v>FAUJ12AC</v>
          </cell>
          <cell r="C562" t="str">
            <v>Imam, UD</v>
          </cell>
          <cell r="D562" t="str">
            <v>Aminah</v>
          </cell>
          <cell r="E562" t="str">
            <v>Ncera, RT.003/RW.006, Kel. Ncera, Kec. Belo</v>
          </cell>
          <cell r="F562" t="str">
            <v>Bima</v>
          </cell>
          <cell r="G562" t="str">
            <v>5206045006780001</v>
          </cell>
          <cell r="H562" t="str">
            <v>000000000000000</v>
          </cell>
          <cell r="J562">
            <v>0</v>
          </cell>
          <cell r="K562">
            <v>0</v>
          </cell>
          <cell r="L562">
            <v>0</v>
          </cell>
        </row>
        <row r="563">
          <cell r="B563" t="str">
            <v>FAUJ13AC</v>
          </cell>
          <cell r="C563" t="str">
            <v>Imam, UD</v>
          </cell>
          <cell r="D563" t="str">
            <v>Samsudin</v>
          </cell>
          <cell r="E563" t="str">
            <v>Dusun La Raji, RT,001/RW,001, Kel, Diha, Kec. Belo</v>
          </cell>
          <cell r="F563" t="str">
            <v>Bima</v>
          </cell>
          <cell r="G563" t="str">
            <v>5206040412720001</v>
          </cell>
          <cell r="H563" t="str">
            <v>000000000000000</v>
          </cell>
          <cell r="J563">
            <v>0</v>
          </cell>
          <cell r="K563">
            <v>0</v>
          </cell>
          <cell r="L563">
            <v>0</v>
          </cell>
        </row>
        <row r="564">
          <cell r="B564" t="str">
            <v>FAUJ14AC</v>
          </cell>
          <cell r="C564" t="str">
            <v>Imam, UD</v>
          </cell>
          <cell r="D564" t="str">
            <v>Budiman</v>
          </cell>
          <cell r="E564" t="str">
            <v>Jln. Tente Karumbu, RT,003/RW,004, Kel. Ncera, Kec. Belo</v>
          </cell>
          <cell r="F564" t="str">
            <v>Bima</v>
          </cell>
          <cell r="G564" t="str">
            <v>5206042502730001</v>
          </cell>
          <cell r="H564" t="str">
            <v>000000000000000</v>
          </cell>
          <cell r="J564">
            <v>0</v>
          </cell>
          <cell r="K564">
            <v>0</v>
          </cell>
          <cell r="L564">
            <v>0</v>
          </cell>
        </row>
        <row r="565">
          <cell r="B565" t="str">
            <v>FAUJ15AC</v>
          </cell>
          <cell r="C565" t="str">
            <v>Imam, UD</v>
          </cell>
          <cell r="D565" t="str">
            <v>Nujulan</v>
          </cell>
          <cell r="E565" t="str">
            <v>Lido, RT.008/RW.004, Kel. Lido, Kec. Belo</v>
          </cell>
          <cell r="F565" t="str">
            <v>Bima</v>
          </cell>
          <cell r="G565" t="str">
            <v>5206040107801256</v>
          </cell>
          <cell r="H565" t="str">
            <v>000000000000000</v>
          </cell>
          <cell r="J565">
            <v>0</v>
          </cell>
          <cell r="K565">
            <v>0</v>
          </cell>
          <cell r="L565">
            <v>0</v>
          </cell>
        </row>
        <row r="566">
          <cell r="B566" t="str">
            <v>FAUJ16AC</v>
          </cell>
          <cell r="C566" t="str">
            <v>Imam, UD</v>
          </cell>
          <cell r="D566" t="str">
            <v>Endang</v>
          </cell>
          <cell r="E566" t="str">
            <v>Ncera, RT.001/RW.001, Kel. Ncera, Kec. Belo</v>
          </cell>
          <cell r="F566" t="str">
            <v>Bima</v>
          </cell>
          <cell r="G566" t="str">
            <v>5206047112830015</v>
          </cell>
          <cell r="H566" t="str">
            <v>000000000000000</v>
          </cell>
          <cell r="J566">
            <v>0</v>
          </cell>
          <cell r="K566">
            <v>0</v>
          </cell>
          <cell r="L566">
            <v>0</v>
          </cell>
        </row>
        <row r="567">
          <cell r="B567" t="str">
            <v>FAUJ17AC</v>
          </cell>
          <cell r="C567" t="str">
            <v>Imam, UD</v>
          </cell>
          <cell r="D567" t="str">
            <v>M. Sidik</v>
          </cell>
          <cell r="E567" t="str">
            <v>Jln. Tente Karumbu, RT.002/RW.002, Kel. Ncera, Kec. Belo</v>
          </cell>
          <cell r="F567" t="str">
            <v>Bima</v>
          </cell>
          <cell r="G567" t="str">
            <v>5206041102820003</v>
          </cell>
          <cell r="H567" t="str">
            <v>000000000000000</v>
          </cell>
          <cell r="J567">
            <v>0</v>
          </cell>
          <cell r="K567">
            <v>0</v>
          </cell>
          <cell r="L567">
            <v>0</v>
          </cell>
        </row>
        <row r="568">
          <cell r="B568" t="str">
            <v>IWJA01AC</v>
          </cell>
          <cell r="C568" t="str">
            <v>Iwan Jaya, UD/Iwan</v>
          </cell>
          <cell r="D568" t="str">
            <v>Jumadi Jayansyah</v>
          </cell>
          <cell r="E568" t="str">
            <v>Lingkungan Jado, RT.010/RW.004, Kel. Dorotangga, Kec. Dompu</v>
          </cell>
          <cell r="F568" t="str">
            <v>Dompu</v>
          </cell>
          <cell r="G568" t="str">
            <v>5205010403970001</v>
          </cell>
          <cell r="H568" t="str">
            <v>000000000000000</v>
          </cell>
          <cell r="I568" t="str">
            <v>Pajak / Non pajak terserah kios</v>
          </cell>
          <cell r="J568">
            <v>29400000</v>
          </cell>
          <cell r="K568">
            <v>0</v>
          </cell>
          <cell r="L568">
            <v>29400000</v>
          </cell>
        </row>
        <row r="569">
          <cell r="B569" t="str">
            <v>IWJA02AC</v>
          </cell>
          <cell r="C569" t="str">
            <v>Iwan Jaya, UD/Iwan</v>
          </cell>
          <cell r="D569" t="str">
            <v>Abd. Landa</v>
          </cell>
          <cell r="E569" t="str">
            <v>Dusun Tolo Renda, RT.006/RW.003, Kel. Renda, Kec. Belo</v>
          </cell>
          <cell r="F569" t="str">
            <v>Bima</v>
          </cell>
          <cell r="G569" t="str">
            <v>5206041804920001</v>
          </cell>
          <cell r="H569" t="str">
            <v>000000000000000</v>
          </cell>
          <cell r="J569">
            <v>19240000</v>
          </cell>
          <cell r="K569">
            <v>0</v>
          </cell>
          <cell r="L569">
            <v>19240000</v>
          </cell>
        </row>
        <row r="570">
          <cell r="B570" t="str">
            <v>IWJA03AC</v>
          </cell>
          <cell r="C570" t="str">
            <v>Iwan Jaya, UD/Iwan</v>
          </cell>
          <cell r="D570" t="str">
            <v>Yusuf Rizal</v>
          </cell>
          <cell r="E570" t="str">
            <v>Dusun Rato Baru, RT.010/RW.005, Kel. Rato. Kec. Lambu</v>
          </cell>
          <cell r="F570" t="str">
            <v>Bima</v>
          </cell>
          <cell r="G570" t="str">
            <v>5206122302981002</v>
          </cell>
          <cell r="H570" t="str">
            <v>000000000000000</v>
          </cell>
          <cell r="J570">
            <v>15400000</v>
          </cell>
          <cell r="K570">
            <v>0</v>
          </cell>
          <cell r="L570">
            <v>15400000</v>
          </cell>
        </row>
        <row r="571">
          <cell r="B571" t="str">
            <v>IWJA04AC</v>
          </cell>
          <cell r="C571" t="str">
            <v>Iwan Jaya, UD/Iwan</v>
          </cell>
          <cell r="D571" t="str">
            <v>Sahrul</v>
          </cell>
          <cell r="E571" t="str">
            <v>Tangga, RT.010/RW.003</v>
          </cell>
          <cell r="F571" t="str">
            <v>Bima</v>
          </cell>
          <cell r="G571" t="str">
            <v>5206010112030003</v>
          </cell>
          <cell r="H571" t="str">
            <v>000000000000000</v>
          </cell>
          <cell r="J571">
            <v>12320000</v>
          </cell>
          <cell r="K571">
            <v>0</v>
          </cell>
          <cell r="L571">
            <v>12320000</v>
          </cell>
        </row>
        <row r="572">
          <cell r="B572" t="str">
            <v>IWJA05AC</v>
          </cell>
          <cell r="C572" t="str">
            <v>Iwan Jaya, UD/Iwan</v>
          </cell>
          <cell r="D572" t="str">
            <v>Gusnedi</v>
          </cell>
          <cell r="E572" t="str">
            <v>Sawang Rawang, RT.000/RW.000, K. Campago Barat, Kec. V Koto Kampung Dalam</v>
          </cell>
          <cell r="F572" t="str">
            <v>Padang Pariaman</v>
          </cell>
          <cell r="G572" t="str">
            <v>3271041708810039</v>
          </cell>
          <cell r="H572" t="str">
            <v>000000000000000</v>
          </cell>
          <cell r="J572">
            <v>9240000</v>
          </cell>
          <cell r="K572">
            <v>0</v>
          </cell>
          <cell r="L572">
            <v>9240000</v>
          </cell>
        </row>
        <row r="573">
          <cell r="B573" t="str">
            <v>IWJA06AC</v>
          </cell>
          <cell r="C573" t="str">
            <v>Iwan Jaya, UD/Iwan</v>
          </cell>
          <cell r="D573" t="str">
            <v>Farisi Anwar</v>
          </cell>
          <cell r="E573" t="str">
            <v>Kp. Tangah Jorong Cacang Tinggi, Kel. Tiku Utara, Kec. Tanjung Mutiara</v>
          </cell>
          <cell r="F573" t="str">
            <v>Agam</v>
          </cell>
          <cell r="G573" t="str">
            <v>1306010101950019</v>
          </cell>
          <cell r="H573" t="str">
            <v>000000000000000</v>
          </cell>
          <cell r="J573">
            <v>18480000</v>
          </cell>
          <cell r="K573">
            <v>0</v>
          </cell>
          <cell r="L573">
            <v>18480000</v>
          </cell>
        </row>
        <row r="574">
          <cell r="B574" t="str">
            <v>IWJA07AC</v>
          </cell>
          <cell r="C574" t="str">
            <v>Iwan Jaya, UD/Iwan</v>
          </cell>
          <cell r="D574" t="str">
            <v>M. Yusuf</v>
          </cell>
          <cell r="E574" t="str">
            <v>Ujung Labung, Kel. Malai V Suku, Kec. Batang Gasan</v>
          </cell>
          <cell r="F574" t="str">
            <v>Padang Pariaman</v>
          </cell>
          <cell r="G574" t="str">
            <v>1306010111810001</v>
          </cell>
          <cell r="H574" t="str">
            <v>000000000000000</v>
          </cell>
          <cell r="J574">
            <v>18480000</v>
          </cell>
          <cell r="K574">
            <v>0</v>
          </cell>
          <cell r="L574">
            <v>18480000</v>
          </cell>
        </row>
        <row r="575">
          <cell r="B575" t="str">
            <v>IWJA08AC</v>
          </cell>
          <cell r="C575" t="str">
            <v>Iwan Jaya, UD/Iwan</v>
          </cell>
          <cell r="D575" t="str">
            <v>Rahmat Hidayat</v>
          </cell>
          <cell r="E575" t="str">
            <v>Sawah Rawang, Kel. Campago Barat, Kec. V Koto Kampung Dalam</v>
          </cell>
          <cell r="F575" t="str">
            <v>Padang Pariaman</v>
          </cell>
          <cell r="G575" t="str">
            <v>1305060501000001</v>
          </cell>
          <cell r="H575" t="str">
            <v>000000000000000</v>
          </cell>
          <cell r="J575">
            <v>18480000</v>
          </cell>
          <cell r="K575">
            <v>0</v>
          </cell>
          <cell r="L575">
            <v>18480000</v>
          </cell>
        </row>
        <row r="576">
          <cell r="B576" t="str">
            <v>IWJA09AC</v>
          </cell>
          <cell r="C576" t="str">
            <v>Iwan Jaya, UD/Iwan</v>
          </cell>
          <cell r="D576" t="str">
            <v>Roni Putra</v>
          </cell>
          <cell r="E576" t="str">
            <v>Sibarueh, Kel. Pilubang, Kec. Sungai Limau</v>
          </cell>
          <cell r="F576" t="str">
            <v>Padang Pariaman</v>
          </cell>
          <cell r="G576" t="str">
            <v>1305081903950001</v>
          </cell>
          <cell r="H576" t="str">
            <v>000000000000000</v>
          </cell>
          <cell r="J576">
            <v>18480000</v>
          </cell>
          <cell r="K576">
            <v>0</v>
          </cell>
          <cell r="L576">
            <v>18480000</v>
          </cell>
        </row>
        <row r="577">
          <cell r="B577" t="str">
            <v>IWJA10AC</v>
          </cell>
          <cell r="C577" t="str">
            <v>Iwan Jaya, UD/Iwan</v>
          </cell>
          <cell r="D577" t="str">
            <v>Nurul Huda</v>
          </cell>
          <cell r="E577" t="str">
            <v>Lewi Ntana RT.007/RW.003 , Lewintana Kel. Soromandi</v>
          </cell>
          <cell r="F577" t="str">
            <v>Bima</v>
          </cell>
          <cell r="G577" t="str">
            <v>5206151904901002</v>
          </cell>
          <cell r="H577" t="str">
            <v>000000000000000</v>
          </cell>
          <cell r="J577">
            <v>18480000</v>
          </cell>
          <cell r="K577">
            <v>0</v>
          </cell>
          <cell r="L577">
            <v>18480000</v>
          </cell>
        </row>
        <row r="578">
          <cell r="B578" t="str">
            <v>JAEN01AC</v>
          </cell>
          <cell r="C578" t="str">
            <v>Jaenal/Branita</v>
          </cell>
          <cell r="D578" t="str">
            <v>Suryono</v>
          </cell>
          <cell r="E578" t="str">
            <v>Dsn. Merkawang, RT.3/RW.2, Merkawang, Tambakboyo</v>
          </cell>
          <cell r="F578" t="str">
            <v>Tuban</v>
          </cell>
          <cell r="G578" t="str">
            <v>3523062303750001</v>
          </cell>
          <cell r="H578" t="str">
            <v>000000000000000</v>
          </cell>
          <cell r="J578">
            <v>0</v>
          </cell>
          <cell r="K578">
            <v>0</v>
          </cell>
          <cell r="L578">
            <v>0</v>
          </cell>
        </row>
        <row r="579">
          <cell r="B579" t="str">
            <v>JAEN02AC</v>
          </cell>
          <cell r="C579" t="str">
            <v>Jaenal/Branita</v>
          </cell>
          <cell r="D579" t="str">
            <v>Sulaiman</v>
          </cell>
          <cell r="E579" t="str">
            <v>Gayam, RT.6/RW.8, Payaman, Solokuro</v>
          </cell>
          <cell r="F579" t="str">
            <v>Lamongan</v>
          </cell>
          <cell r="G579" t="str">
            <v>3524152008740002</v>
          </cell>
          <cell r="H579" t="str">
            <v>000000000000000</v>
          </cell>
          <cell r="J579">
            <v>0</v>
          </cell>
          <cell r="K579">
            <v>0</v>
          </cell>
          <cell r="L579">
            <v>0</v>
          </cell>
        </row>
        <row r="580">
          <cell r="B580" t="str">
            <v>JAEN03AC</v>
          </cell>
          <cell r="C580" t="str">
            <v>Jaenal/Branita</v>
          </cell>
          <cell r="D580" t="str">
            <v>Tomy Marmadion</v>
          </cell>
          <cell r="E580" t="str">
            <v>Dsn. Kebonan RT.4/RW.2, Kalisalam, Dringu</v>
          </cell>
          <cell r="F580" t="str">
            <v>Probolinggo</v>
          </cell>
          <cell r="G580" t="str">
            <v>3513192008900002</v>
          </cell>
          <cell r="H580" t="str">
            <v>000000000000000</v>
          </cell>
          <cell r="J580">
            <v>0</v>
          </cell>
          <cell r="K580">
            <v>0</v>
          </cell>
          <cell r="L580">
            <v>0</v>
          </cell>
        </row>
        <row r="581">
          <cell r="B581" t="str">
            <v>JAEN04AC</v>
          </cell>
          <cell r="C581" t="str">
            <v>Jaenal/Branita</v>
          </cell>
          <cell r="D581" t="str">
            <v>Gunawan Wiji Saksono</v>
          </cell>
          <cell r="E581" t="str">
            <v>Wonosobo, RT.4/RW.3, Sidorejo, Geneng</v>
          </cell>
          <cell r="F581" t="str">
            <v>Ngawi</v>
          </cell>
          <cell r="G581" t="str">
            <v>3521131810760003</v>
          </cell>
          <cell r="H581" t="str">
            <v>000000000000000</v>
          </cell>
          <cell r="J581">
            <v>0</v>
          </cell>
          <cell r="K581">
            <v>0</v>
          </cell>
          <cell r="L581">
            <v>0</v>
          </cell>
        </row>
        <row r="582">
          <cell r="B582" t="str">
            <v>PRAY01AC</v>
          </cell>
          <cell r="C582" t="str">
            <v>Jaya Abadi/Prayogi</v>
          </cell>
          <cell r="D582" t="str">
            <v>Prayogi Ika Handayani</v>
          </cell>
          <cell r="E582" t="str">
            <v>Dusun Kauman, RT.003/RW.011, Kel. Tempurejo, Kec. Tempurejo</v>
          </cell>
          <cell r="F582" t="str">
            <v>Jember</v>
          </cell>
          <cell r="G582" t="str">
            <v>3511016607790001</v>
          </cell>
          <cell r="H582" t="str">
            <v>000000000000000</v>
          </cell>
          <cell r="I582" t="str">
            <v>Cabangnya Sumber Rejeki/Iwan</v>
          </cell>
          <cell r="J582">
            <v>0</v>
          </cell>
          <cell r="K582">
            <v>0</v>
          </cell>
          <cell r="L582">
            <v>0</v>
          </cell>
        </row>
        <row r="583">
          <cell r="B583" t="str">
            <v>JENNY01AC</v>
          </cell>
          <cell r="C583" t="str">
            <v>Jenny Wati</v>
          </cell>
          <cell r="D583" t="str">
            <v>Jemmy</v>
          </cell>
          <cell r="E583" t="str">
            <v>Jl. Mulyosari Satu/100-A, RT.010/RW.006, Kel. Kalisari, Kec. Mulyorejo</v>
          </cell>
          <cell r="F583" t="str">
            <v>Surabaya</v>
          </cell>
          <cell r="G583" t="str">
            <v>3578260204800007</v>
          </cell>
          <cell r="H583" t="str">
            <v>000000000000000</v>
          </cell>
          <cell r="J583">
            <v>0</v>
          </cell>
          <cell r="K583">
            <v>0</v>
          </cell>
          <cell r="L583">
            <v>0</v>
          </cell>
        </row>
        <row r="584">
          <cell r="B584" t="str">
            <v>JENNY02AC</v>
          </cell>
          <cell r="C584" t="str">
            <v>Jenny Wati</v>
          </cell>
          <cell r="D584" t="str">
            <v>Eveline S</v>
          </cell>
          <cell r="E584" t="str">
            <v>D. Husada Ind Timur 8/14 L-109, RT.005/RW.009, Kel. Mulyorejo, Kec. Mulyorejo</v>
          </cell>
          <cell r="F584" t="str">
            <v>Surabaya</v>
          </cell>
          <cell r="G584" t="str">
            <v>3578265411940001</v>
          </cell>
          <cell r="H584" t="str">
            <v>000000000000000</v>
          </cell>
          <cell r="J584">
            <v>0</v>
          </cell>
          <cell r="K584">
            <v>0</v>
          </cell>
          <cell r="L584">
            <v>0</v>
          </cell>
        </row>
        <row r="585">
          <cell r="B585" t="str">
            <v>JENNY03AC</v>
          </cell>
          <cell r="C585" t="str">
            <v>Jenny Wati</v>
          </cell>
          <cell r="D585" t="str">
            <v>Pauline S</v>
          </cell>
          <cell r="E585" t="str">
            <v>D. Husada Ind Timur 8/14 L-109, RT.005/RW.009, Kel. Mulyorejo, Kec. Mulyorejo</v>
          </cell>
          <cell r="F585" t="str">
            <v>Surabaya</v>
          </cell>
          <cell r="G585" t="str">
            <v>3578264303990001</v>
          </cell>
          <cell r="H585" t="str">
            <v>000000000000000</v>
          </cell>
          <cell r="J585">
            <v>0</v>
          </cell>
          <cell r="K585">
            <v>0</v>
          </cell>
          <cell r="L585">
            <v>0</v>
          </cell>
        </row>
        <row r="586">
          <cell r="B586" t="str">
            <v>JENNY04AC</v>
          </cell>
          <cell r="C586" t="str">
            <v>Jenny Wati</v>
          </cell>
          <cell r="D586" t="str">
            <v>Jennywati</v>
          </cell>
          <cell r="E586" t="str">
            <v>D. Husada Ind Timur 8/14 L-109, RT.005/RW.009, Kel. Mulyorejo, Kec. Mulyorejo</v>
          </cell>
          <cell r="F586" t="str">
            <v>Surabaya</v>
          </cell>
          <cell r="G586" t="str">
            <v>3578265206640004</v>
          </cell>
          <cell r="H586" t="str">
            <v>000000000000000</v>
          </cell>
          <cell r="J586">
            <v>0</v>
          </cell>
          <cell r="K586">
            <v>0</v>
          </cell>
          <cell r="L586">
            <v>0</v>
          </cell>
        </row>
        <row r="587">
          <cell r="B587" t="str">
            <v>KAMI01AC</v>
          </cell>
          <cell r="C587" t="str">
            <v>Kamil, H</v>
          </cell>
          <cell r="D587" t="str">
            <v>Sundari Eko W</v>
          </cell>
          <cell r="E587" t="str">
            <v>Dsn. Krajan, RT.003/RW.006, Kel. Jatian, Kec. Pakusari</v>
          </cell>
          <cell r="F587" t="str">
            <v>Jember</v>
          </cell>
          <cell r="G587" t="str">
            <v>3509241205710004</v>
          </cell>
          <cell r="H587" t="str">
            <v>000000000000000</v>
          </cell>
          <cell r="J587">
            <v>0</v>
          </cell>
          <cell r="K587">
            <v>0</v>
          </cell>
          <cell r="L587">
            <v>0</v>
          </cell>
        </row>
        <row r="588">
          <cell r="B588" t="str">
            <v>KAMI02AC</v>
          </cell>
          <cell r="C588" t="str">
            <v>Kamil, H</v>
          </cell>
          <cell r="D588" t="str">
            <v>Ahmad Sholeh</v>
          </cell>
          <cell r="E588" t="str">
            <v>Dsn. Krajan I RT.001/RW.001, Kel. Gambiran, Kec. Kalisat</v>
          </cell>
          <cell r="F588" t="str">
            <v>Jember</v>
          </cell>
          <cell r="G588" t="str">
            <v>3509270107770153</v>
          </cell>
          <cell r="H588" t="str">
            <v>000000000000000</v>
          </cell>
          <cell r="J588">
            <v>0</v>
          </cell>
          <cell r="K588">
            <v>0</v>
          </cell>
          <cell r="L588">
            <v>0</v>
          </cell>
        </row>
        <row r="589">
          <cell r="B589" t="str">
            <v>KARI09AC</v>
          </cell>
          <cell r="C589" t="str">
            <v>Karisma Indoagro Universal, PT</v>
          </cell>
          <cell r="D589" t="str">
            <v>PT. Karisma Indoagro Universal</v>
          </cell>
          <cell r="E589" t="str">
            <v>Jl. Semeru No. 89 RT.001/RW.004, Ajung</v>
          </cell>
          <cell r="F589" t="str">
            <v>Jember</v>
          </cell>
          <cell r="G589" t="str">
            <v>0000000000000000</v>
          </cell>
          <cell r="H589" t="str">
            <v>019477371651000</v>
          </cell>
          <cell r="I589" t="str">
            <v>Nota sampel, bonus  ( petugas ) KIU</v>
          </cell>
          <cell r="J589">
            <v>537520</v>
          </cell>
          <cell r="K589">
            <v>0</v>
          </cell>
          <cell r="L589">
            <v>537520</v>
          </cell>
        </row>
        <row r="590">
          <cell r="B590" t="str">
            <v>KARU01AC</v>
          </cell>
          <cell r="C590" t="str">
            <v>Karunia Makmur, UD</v>
          </cell>
          <cell r="D590" t="str">
            <v>Wahyu Agung Widodo</v>
          </cell>
          <cell r="E590" t="str">
            <v>Dsn. Silirkrombang, RT.003/RW.002, Kel. Seneporejo, Kec. Siliragung</v>
          </cell>
          <cell r="F590" t="str">
            <v>Banyuwangi</v>
          </cell>
          <cell r="G590" t="str">
            <v>3510020601820002</v>
          </cell>
          <cell r="H590" t="str">
            <v>000000000000000</v>
          </cell>
          <cell r="I590" t="str">
            <v>Pakai Acaknya Langgeng Makmur ( 1 keluarga )</v>
          </cell>
          <cell r="J590">
            <v>28371199.999907322</v>
          </cell>
          <cell r="K590">
            <v>0</v>
          </cell>
          <cell r="L590">
            <v>28371199.999907322</v>
          </cell>
        </row>
        <row r="591">
          <cell r="B591" t="str">
            <v>KARU03AC</v>
          </cell>
          <cell r="C591" t="str">
            <v>Karunia Makmur, UD</v>
          </cell>
          <cell r="D591" t="str">
            <v>Buhari</v>
          </cell>
          <cell r="E591" t="str">
            <v>Dusun Silirkrombang, RT.003/ RW.002, Kel. Seneporejo, Kec. Siliragung</v>
          </cell>
          <cell r="F591" t="str">
            <v>Banyuwangi</v>
          </cell>
          <cell r="G591" t="str">
            <v>3510222707690005</v>
          </cell>
          <cell r="H591" t="str">
            <v>000000000000000</v>
          </cell>
          <cell r="J591">
            <v>55843999.998989597</v>
          </cell>
          <cell r="K591">
            <v>0</v>
          </cell>
          <cell r="L591">
            <v>55843999.998989597</v>
          </cell>
        </row>
        <row r="592">
          <cell r="B592" t="str">
            <v>KARU05AC</v>
          </cell>
          <cell r="C592" t="str">
            <v>Karunia Makmur, UD</v>
          </cell>
          <cell r="D592" t="str">
            <v>Sugiharta</v>
          </cell>
          <cell r="E592" t="str">
            <v>Dusun Pecemengan, RT.001/RW.002, Kel. Buluagung, Kec. Siliragung</v>
          </cell>
          <cell r="F592" t="str">
            <v>Banyuwangi</v>
          </cell>
          <cell r="G592" t="str">
            <v>3510221602880003</v>
          </cell>
          <cell r="H592" t="str">
            <v>000000000000000</v>
          </cell>
          <cell r="I592" t="str">
            <v>tukang listrik</v>
          </cell>
          <cell r="J592">
            <v>53992799.999497414</v>
          </cell>
          <cell r="K592">
            <v>0</v>
          </cell>
          <cell r="L592">
            <v>53992799.999497414</v>
          </cell>
        </row>
        <row r="593">
          <cell r="B593" t="str">
            <v>KARU06AC</v>
          </cell>
          <cell r="C593" t="str">
            <v>Karunia Makmur, UD</v>
          </cell>
          <cell r="D593" t="str">
            <v>Muhajam</v>
          </cell>
          <cell r="E593" t="str">
            <v>Ringin Asri, RT.024/RW.006, Kel. Wringinpitu, Kec. Tegaldlimo</v>
          </cell>
          <cell r="F593" t="str">
            <v>Banyuwangi</v>
          </cell>
          <cell r="G593" t="str">
            <v>3510040509700009</v>
          </cell>
          <cell r="H593" t="str">
            <v>000000000000000</v>
          </cell>
          <cell r="I593" t="str">
            <v>petani</v>
          </cell>
          <cell r="J593">
            <v>26263999.999549501</v>
          </cell>
          <cell r="K593">
            <v>0</v>
          </cell>
          <cell r="L593">
            <v>26263999.999549501</v>
          </cell>
        </row>
        <row r="594">
          <cell r="B594" t="str">
            <v>KARU07AC</v>
          </cell>
          <cell r="C594" t="str">
            <v>Karunia Makmur, UD</v>
          </cell>
          <cell r="D594" t="str">
            <v>Eko Prastyo</v>
          </cell>
          <cell r="E594" t="str">
            <v>Dsn. Bulurejo, RT.003/RW.002, Kel. Tegalrejo, Kec. Tegalsari</v>
          </cell>
          <cell r="F594" t="str">
            <v>Banyuwangi</v>
          </cell>
          <cell r="G594" t="str">
            <v>6271031104890009</v>
          </cell>
          <cell r="H594" t="str">
            <v>000000000000000</v>
          </cell>
          <cell r="I594" t="str">
            <v>Karyawan Swasta</v>
          </cell>
          <cell r="J594">
            <v>45790399.999925099</v>
          </cell>
          <cell r="K594">
            <v>0</v>
          </cell>
          <cell r="L594">
            <v>45790399.999925099</v>
          </cell>
        </row>
        <row r="595">
          <cell r="B595" t="str">
            <v>KARU08AC</v>
          </cell>
          <cell r="C595" t="str">
            <v>Karunia Makmur, UD</v>
          </cell>
          <cell r="D595" t="str">
            <v>Prayu Tri Apriyanto</v>
          </cell>
          <cell r="E595" t="str">
            <v>Dusun Tempurejo, RT.004/RW.001, Kel. Purwodadi, Kec. Gambiran</v>
          </cell>
          <cell r="F595" t="str">
            <v>Banyuwangi</v>
          </cell>
          <cell r="G595" t="str">
            <v>3510071304930001</v>
          </cell>
          <cell r="H595" t="str">
            <v>000000000000000</v>
          </cell>
          <cell r="I595" t="str">
            <v>pelajar</v>
          </cell>
          <cell r="J595">
            <v>36323199.999718003</v>
          </cell>
          <cell r="K595">
            <v>0</v>
          </cell>
          <cell r="L595">
            <v>36323199.999718003</v>
          </cell>
        </row>
        <row r="596">
          <cell r="B596" t="str">
            <v>KARU09AC</v>
          </cell>
          <cell r="C596" t="str">
            <v>Karunia Makmur, UD</v>
          </cell>
          <cell r="D596" t="str">
            <v>Bonasir</v>
          </cell>
          <cell r="E596" t="str">
            <v>Dsn. Curahpacul, RT.001/RW.001, Kel. Tambakrejo, Kec. Muncar</v>
          </cell>
          <cell r="F596" t="str">
            <v>Banyuwangi</v>
          </cell>
          <cell r="G596" t="str">
            <v>3510053006680003</v>
          </cell>
          <cell r="H596" t="str">
            <v>000000000000000</v>
          </cell>
          <cell r="I596" t="str">
            <v>petani</v>
          </cell>
          <cell r="J596">
            <v>29950799.9999182</v>
          </cell>
          <cell r="K596">
            <v>0</v>
          </cell>
          <cell r="L596">
            <v>29950799.9999182</v>
          </cell>
        </row>
        <row r="597">
          <cell r="B597" t="str">
            <v>KARU10AC</v>
          </cell>
          <cell r="C597" t="str">
            <v>Karunia Makmur, UD</v>
          </cell>
          <cell r="D597" t="str">
            <v>Ponijan</v>
          </cell>
          <cell r="E597" t="str">
            <v>Dusun Kaligoro, RT.002/RW.002, Kel. Sukomaju, Kec. Srono</v>
          </cell>
          <cell r="F597" t="str">
            <v>Banyuwangi</v>
          </cell>
          <cell r="G597" t="str">
            <v>3510080102600002</v>
          </cell>
          <cell r="H597" t="str">
            <v>000000000000000</v>
          </cell>
          <cell r="I597" t="str">
            <v>petani</v>
          </cell>
          <cell r="J597">
            <v>11719999.9999364</v>
          </cell>
          <cell r="K597">
            <v>0</v>
          </cell>
          <cell r="L597">
            <v>11719999.9999364</v>
          </cell>
        </row>
        <row r="598">
          <cell r="B598" t="str">
            <v>KARU11AC</v>
          </cell>
          <cell r="C598" t="str">
            <v>Karunia Makmur, UD</v>
          </cell>
          <cell r="D598" t="str">
            <v>Imfron Rosidi</v>
          </cell>
          <cell r="E598" t="str">
            <v>Dusun Plosorejo, RT.003/RW.001, Kel. Kaliploso, Kec. Cluring</v>
          </cell>
          <cell r="F598" t="str">
            <v>Banyuwangi</v>
          </cell>
          <cell r="G598" t="str">
            <v>3510061109900002</v>
          </cell>
          <cell r="H598" t="str">
            <v>000000000000000</v>
          </cell>
          <cell r="I598" t="str">
            <v>Wiraswasta</v>
          </cell>
          <cell r="J598">
            <v>32188799.999979723</v>
          </cell>
          <cell r="K598">
            <v>0</v>
          </cell>
          <cell r="L598">
            <v>32188799.999979723</v>
          </cell>
        </row>
        <row r="599">
          <cell r="B599" t="str">
            <v>KARU12AC</v>
          </cell>
          <cell r="C599" t="str">
            <v>Karunia Makmur, UD</v>
          </cell>
          <cell r="D599" t="str">
            <v>Painten</v>
          </cell>
          <cell r="E599" t="str">
            <v>Dsn. Kedungrejo, RT.001/RW.006, Kel. Sambimulyo, Kec. Bangorejo</v>
          </cell>
          <cell r="F599" t="str">
            <v>Banyuwangi</v>
          </cell>
          <cell r="G599" t="str">
            <v>3510025907630002</v>
          </cell>
          <cell r="H599" t="str">
            <v>000000000000000</v>
          </cell>
          <cell r="I599" t="str">
            <v>Wiraswasta</v>
          </cell>
          <cell r="J599">
            <v>27259599.999988481</v>
          </cell>
          <cell r="K599">
            <v>0</v>
          </cell>
          <cell r="L599">
            <v>27259599.999988481</v>
          </cell>
        </row>
        <row r="600">
          <cell r="B600" t="str">
            <v>KARU13AC</v>
          </cell>
          <cell r="C600" t="str">
            <v>Karunia Makmur, UD</v>
          </cell>
          <cell r="D600" t="str">
            <v>Mohamad Kosim</v>
          </cell>
          <cell r="E600" t="str">
            <v>Dsn. Krajan, RT.002/RW.002, Kel. Sarongan, Kec. Pesanggaran</v>
          </cell>
          <cell r="F600" t="str">
            <v>Banyuwangi</v>
          </cell>
          <cell r="G600" t="str">
            <v>3510012803810002</v>
          </cell>
          <cell r="H600" t="str">
            <v>000000000000000</v>
          </cell>
          <cell r="I600" t="str">
            <v>Perdagangan</v>
          </cell>
          <cell r="J600">
            <v>29039999.99997624</v>
          </cell>
          <cell r="K600">
            <v>0</v>
          </cell>
          <cell r="L600">
            <v>29039999.99997624</v>
          </cell>
        </row>
        <row r="601">
          <cell r="B601" t="str">
            <v>KARU14AC</v>
          </cell>
          <cell r="C601" t="str">
            <v>Karunia Makmur, UD</v>
          </cell>
          <cell r="D601" t="str">
            <v>Faruq Imami</v>
          </cell>
          <cell r="E601" t="str">
            <v>Dsn. Cemetuk, RT.001/RW.003, Kel. Cluring, Kec. Cluring</v>
          </cell>
          <cell r="F601" t="str">
            <v>Banyuwangi</v>
          </cell>
          <cell r="G601" t="str">
            <v>3510232805820003</v>
          </cell>
          <cell r="H601" t="str">
            <v>000000000000000</v>
          </cell>
          <cell r="I601" t="str">
            <v>pedagang</v>
          </cell>
          <cell r="J601">
            <v>25253199.999956802</v>
          </cell>
          <cell r="K601">
            <v>0</v>
          </cell>
          <cell r="L601">
            <v>25253199.999956802</v>
          </cell>
        </row>
        <row r="602">
          <cell r="B602" t="str">
            <v>KARU15AC</v>
          </cell>
          <cell r="C602" t="str">
            <v>Karunia Makmur, UD</v>
          </cell>
          <cell r="D602" t="str">
            <v>Mohamad Ali Mansur</v>
          </cell>
          <cell r="E602" t="str">
            <v>Dusun Kaligoro, RT.004/RW.001, Kel. Sukomaju, Kec. Srono</v>
          </cell>
          <cell r="F602" t="str">
            <v>Banyuwangi</v>
          </cell>
          <cell r="G602" t="str">
            <v>3510081009800009</v>
          </cell>
          <cell r="H602" t="str">
            <v>000000000000000</v>
          </cell>
          <cell r="I602" t="str">
            <v>petani</v>
          </cell>
          <cell r="J602">
            <v>2595999.9999927003</v>
          </cell>
          <cell r="K602">
            <v>0</v>
          </cell>
          <cell r="L602">
            <v>2595999.9999927003</v>
          </cell>
        </row>
        <row r="603">
          <cell r="B603" t="str">
            <v>KARU16AC</v>
          </cell>
          <cell r="C603" t="str">
            <v>Karunia Makmur, UD</v>
          </cell>
          <cell r="D603" t="str">
            <v>Supriyadi</v>
          </cell>
          <cell r="E603" t="str">
            <v>Damtelu, RT.013/RW.002, Kel. Kedunggebang, Kec. Tegaldlimo</v>
          </cell>
          <cell r="F603" t="str">
            <v>Banyuwangi</v>
          </cell>
          <cell r="G603" t="str">
            <v>3510041204820002</v>
          </cell>
          <cell r="H603" t="str">
            <v>000000000000000</v>
          </cell>
          <cell r="I603" t="str">
            <v>Wiraswasta</v>
          </cell>
          <cell r="J603">
            <v>22000000</v>
          </cell>
          <cell r="K603">
            <v>0</v>
          </cell>
          <cell r="L603">
            <v>22000000</v>
          </cell>
        </row>
        <row r="604">
          <cell r="B604" t="str">
            <v>KARU17AC</v>
          </cell>
          <cell r="C604" t="str">
            <v>Karunia Makmur, UD</v>
          </cell>
          <cell r="D604" t="str">
            <v>Ardani</v>
          </cell>
          <cell r="E604" t="str">
            <v>Sumberkepuh, RT.014/RW.002, Kel. Kedungwungu, Kec. Tegaldlimo</v>
          </cell>
          <cell r="F604" t="str">
            <v>Banyuwangi</v>
          </cell>
          <cell r="G604" t="str">
            <v>3510042010720004</v>
          </cell>
          <cell r="H604" t="str">
            <v>000000000000000</v>
          </cell>
          <cell r="I604" t="str">
            <v>petani</v>
          </cell>
          <cell r="J604">
            <v>15916800</v>
          </cell>
          <cell r="K604">
            <v>0</v>
          </cell>
          <cell r="L604">
            <v>15916800</v>
          </cell>
        </row>
        <row r="605">
          <cell r="B605" t="str">
            <v>KARU18AC</v>
          </cell>
          <cell r="C605" t="str">
            <v>Karunia Makmur, UD</v>
          </cell>
          <cell r="D605" t="str">
            <v>Ahmad Nabawi</v>
          </cell>
          <cell r="E605" t="str">
            <v>Dsn. Tanjungrejo, RT.001/RW.002, Kel. Kebondalem, Kec. Bangorejo</v>
          </cell>
          <cell r="F605" t="str">
            <v>Banyuwangi</v>
          </cell>
          <cell r="G605" t="str">
            <v>3510021011700003</v>
          </cell>
          <cell r="H605" t="str">
            <v>000000000000000</v>
          </cell>
          <cell r="I605" t="str">
            <v>pedagang</v>
          </cell>
          <cell r="J605">
            <v>11232000</v>
          </cell>
          <cell r="K605">
            <v>0</v>
          </cell>
          <cell r="L605">
            <v>11232000</v>
          </cell>
        </row>
        <row r="606">
          <cell r="B606" t="str">
            <v>KARU19AC</v>
          </cell>
          <cell r="C606" t="str">
            <v>Karunia Makmur, UD</v>
          </cell>
          <cell r="D606" t="str">
            <v>Syamsul Arifin</v>
          </cell>
          <cell r="E606" t="str">
            <v xml:space="preserve">Dsn. Krajan 1, RT.009/RW.002, Kel. Tegalsari , Kec. Tegalsari </v>
          </cell>
          <cell r="F606" t="str">
            <v>Banyuwangi</v>
          </cell>
          <cell r="G606" t="str">
            <v>3510231709930001</v>
          </cell>
          <cell r="H606" t="str">
            <v>000000000000000</v>
          </cell>
          <cell r="I606" t="str">
            <v>Karyawan swasta</v>
          </cell>
          <cell r="J606">
            <v>1200000</v>
          </cell>
          <cell r="K606">
            <v>0</v>
          </cell>
          <cell r="L606">
            <v>1200000</v>
          </cell>
        </row>
        <row r="607">
          <cell r="B607" t="str">
            <v>KARU20AC</v>
          </cell>
          <cell r="C607" t="str">
            <v>Karunia Makmur, UD</v>
          </cell>
          <cell r="D607" t="str">
            <v>Tukijan</v>
          </cell>
          <cell r="E607" t="str">
            <v>Dsn. Curahpalung, RT.003/RW.003, Kel. Kradenan, Kec. Purwoharjo</v>
          </cell>
          <cell r="F607" t="str">
            <v>Banyuwangi</v>
          </cell>
          <cell r="G607" t="str">
            <v>3510031508580003</v>
          </cell>
          <cell r="H607" t="str">
            <v>000000000000000</v>
          </cell>
          <cell r="I607" t="str">
            <v>Wiraswasta</v>
          </cell>
          <cell r="J607">
            <v>1350000</v>
          </cell>
          <cell r="K607">
            <v>0</v>
          </cell>
          <cell r="L607">
            <v>1350000</v>
          </cell>
        </row>
        <row r="608">
          <cell r="B608" t="str">
            <v>KARU21AC</v>
          </cell>
          <cell r="C608" t="str">
            <v>Karunia Makmur, UD</v>
          </cell>
          <cell r="D608" t="str">
            <v>Susiyono</v>
          </cell>
          <cell r="E608" t="str">
            <v>Dsn. Sidomukti, RT.001/RW.001, Kel. Yosomulyo, Kec. Gambiran</v>
          </cell>
          <cell r="F608" t="str">
            <v>Banyuwangi</v>
          </cell>
          <cell r="G608" t="str">
            <v>3510071001800003</v>
          </cell>
          <cell r="H608" t="str">
            <v>000000000000000</v>
          </cell>
          <cell r="I608" t="str">
            <v>Petani/pekebun</v>
          </cell>
          <cell r="J608">
            <v>2528000</v>
          </cell>
          <cell r="K608">
            <v>0</v>
          </cell>
          <cell r="L608">
            <v>2528000</v>
          </cell>
        </row>
        <row r="609">
          <cell r="B609" t="str">
            <v>KARU22AC</v>
          </cell>
          <cell r="C609" t="str">
            <v>Karunia Makmur, UD</v>
          </cell>
          <cell r="D609" t="str">
            <v>Warsan Hadi</v>
          </cell>
          <cell r="E609" t="str">
            <v>Dsn. Pasembon, RT.005/RW.004, Kel. Sambirejo, Kec. Bangorejo</v>
          </cell>
          <cell r="F609" t="str">
            <v>Banyuwangi</v>
          </cell>
          <cell r="G609" t="str">
            <v>3510011010780003</v>
          </cell>
          <cell r="H609" t="str">
            <v>000000000000000</v>
          </cell>
          <cell r="I609" t="str">
            <v>Petani/pekebun</v>
          </cell>
          <cell r="J609">
            <v>20560000</v>
          </cell>
          <cell r="K609">
            <v>0</v>
          </cell>
          <cell r="L609">
            <v>20560000</v>
          </cell>
        </row>
        <row r="610">
          <cell r="B610" t="str">
            <v>KARU23AC</v>
          </cell>
          <cell r="C610" t="str">
            <v>Karunia Makmur, UD</v>
          </cell>
          <cell r="D610" t="str">
            <v>Sudiyono</v>
          </cell>
          <cell r="E610" t="str">
            <v>Dsn. Pasar, RT.005/RW.002, Kel. Sumberarum, Kec. Songgon</v>
          </cell>
          <cell r="F610" t="str">
            <v>Banyuwangi</v>
          </cell>
          <cell r="G610" t="str">
            <v>3510191507730001</v>
          </cell>
          <cell r="H610" t="str">
            <v>000000000000000</v>
          </cell>
          <cell r="I610" t="str">
            <v>Pedagang</v>
          </cell>
          <cell r="J610">
            <v>691200</v>
          </cell>
          <cell r="K610">
            <v>0</v>
          </cell>
          <cell r="L610">
            <v>691200</v>
          </cell>
        </row>
        <row r="611">
          <cell r="B611" t="str">
            <v>KARU24AC</v>
          </cell>
          <cell r="C611" t="str">
            <v>Karunia Makmur, UD</v>
          </cell>
          <cell r="D611" t="str">
            <v>Daryanto</v>
          </cell>
          <cell r="E611" t="str">
            <v>Dsn. Krajan 111, RT.003/RW.012, Kel. Keting, Kec. Jombang</v>
          </cell>
          <cell r="F611" t="str">
            <v>Jember</v>
          </cell>
          <cell r="G611" t="str">
            <v>3509010404770005</v>
          </cell>
          <cell r="H611" t="str">
            <v>000000000000000</v>
          </cell>
          <cell r="I611" t="str">
            <v>Wiraswasta</v>
          </cell>
          <cell r="J611">
            <v>10886400</v>
          </cell>
          <cell r="K611">
            <v>0</v>
          </cell>
          <cell r="L611">
            <v>10886400</v>
          </cell>
        </row>
        <row r="612">
          <cell r="B612" t="str">
            <v>KARU25AC</v>
          </cell>
          <cell r="C612" t="str">
            <v>Karunia Makmur, UD</v>
          </cell>
          <cell r="D612" t="str">
            <v>Hariyoso</v>
          </cell>
          <cell r="E612" t="str">
            <v>Dsn. Jatisari, RT.002/RW.001, Kel. Wringinagung, Kec. Gambiran</v>
          </cell>
          <cell r="F612" t="str">
            <v>Banyuwangi</v>
          </cell>
          <cell r="G612" t="str">
            <v>3510060909820008</v>
          </cell>
          <cell r="H612" t="str">
            <v>000000000000000</v>
          </cell>
          <cell r="I612" t="str">
            <v>Karyawan swasta</v>
          </cell>
          <cell r="J612">
            <v>7257600</v>
          </cell>
          <cell r="K612">
            <v>0</v>
          </cell>
          <cell r="L612">
            <v>7257600</v>
          </cell>
        </row>
        <row r="613">
          <cell r="B613" t="str">
            <v>KARU26AC</v>
          </cell>
          <cell r="C613" t="str">
            <v>Karunia Makmur, UD</v>
          </cell>
          <cell r="D613" t="str">
            <v>Akhiyat</v>
          </cell>
          <cell r="E613" t="str">
            <v>Dsn. Pancursari, RT.003/RW.001, Kel. Benculuk, Kec. Cluring</v>
          </cell>
          <cell r="F613" t="str">
            <v>Banyuwangi</v>
          </cell>
          <cell r="G613" t="str">
            <v>3510062304670003</v>
          </cell>
          <cell r="H613" t="str">
            <v>000000000000000</v>
          </cell>
          <cell r="I613" t="str">
            <v>Guru</v>
          </cell>
          <cell r="J613">
            <v>28886400</v>
          </cell>
          <cell r="K613">
            <v>0</v>
          </cell>
          <cell r="L613">
            <v>28886400</v>
          </cell>
        </row>
        <row r="614">
          <cell r="B614" t="str">
            <v>KARU27AC</v>
          </cell>
          <cell r="C614" t="str">
            <v>Karunia Makmur, UD</v>
          </cell>
          <cell r="D614" t="str">
            <v>Wendy Kristanto</v>
          </cell>
          <cell r="E614" t="str">
            <v>Dsn. Ringinmulyo, RT.002/RW.004, Kel. Pesanggaran, Kec. Pesanggaran</v>
          </cell>
          <cell r="F614" t="str">
            <v>Banyuwangi</v>
          </cell>
          <cell r="G614" t="str">
            <v>3510011604820003</v>
          </cell>
          <cell r="H614" t="str">
            <v>000000000000000</v>
          </cell>
          <cell r="I614" t="str">
            <v>Petani/pekebun</v>
          </cell>
          <cell r="J614">
            <v>18000000</v>
          </cell>
          <cell r="K614">
            <v>0</v>
          </cell>
          <cell r="L614">
            <v>18000000</v>
          </cell>
        </row>
        <row r="615">
          <cell r="B615" t="str">
            <v>KARU28AC</v>
          </cell>
          <cell r="C615" t="str">
            <v>Karunia Makmur, UD</v>
          </cell>
          <cell r="D615" t="str">
            <v>Pujiadi</v>
          </cell>
          <cell r="E615" t="str">
            <v>Dsn. Trembelang, RT.002/RW.002, Kel. Cluring, Kec. Cluring</v>
          </cell>
          <cell r="F615" t="str">
            <v>Banyuwangi</v>
          </cell>
          <cell r="G615" t="str">
            <v>3510061308700003</v>
          </cell>
          <cell r="H615" t="str">
            <v>000000000000000</v>
          </cell>
          <cell r="I615" t="str">
            <v>Petani/pekebun</v>
          </cell>
          <cell r="J615">
            <v>18000000</v>
          </cell>
          <cell r="K615">
            <v>0</v>
          </cell>
          <cell r="L615">
            <v>18000000</v>
          </cell>
        </row>
        <row r="616">
          <cell r="B616" t="str">
            <v>KARU29AC</v>
          </cell>
          <cell r="C616" t="str">
            <v>Karunia Makmur, UD</v>
          </cell>
          <cell r="D616" t="str">
            <v>Pujiati</v>
          </cell>
          <cell r="E616" t="str">
            <v>Dsn. Gunungsari, RT.001/RW.003, Kel. Bangorejo, Kec. Bangorejo</v>
          </cell>
          <cell r="F616" t="str">
            <v>Banyuwangi</v>
          </cell>
          <cell r="G616" t="str">
            <v>3510025307720003</v>
          </cell>
          <cell r="H616" t="str">
            <v>000000000000000</v>
          </cell>
          <cell r="I616" t="str">
            <v>IRT</v>
          </cell>
          <cell r="J616">
            <v>18000000</v>
          </cell>
          <cell r="K616">
            <v>0</v>
          </cell>
          <cell r="L616">
            <v>18000000</v>
          </cell>
        </row>
        <row r="617">
          <cell r="B617" t="str">
            <v>KARU30AC</v>
          </cell>
          <cell r="C617" t="str">
            <v>Karunia Makmur, UD</v>
          </cell>
          <cell r="D617" t="str">
            <v>Imam Daroji</v>
          </cell>
          <cell r="E617" t="str">
            <v>Dsn. Kalirejo, RT/001/RW.008, Kel. Kaliploso, Kec. Cluring</v>
          </cell>
          <cell r="F617" t="str">
            <v>Banyuwangi</v>
          </cell>
          <cell r="G617" t="str">
            <v>3510061304870002</v>
          </cell>
          <cell r="H617" t="str">
            <v>000000000000000</v>
          </cell>
          <cell r="I617" t="str">
            <v>Petani/pekebun</v>
          </cell>
          <cell r="J617">
            <v>18000000</v>
          </cell>
          <cell r="K617">
            <v>0</v>
          </cell>
          <cell r="L617">
            <v>18000000</v>
          </cell>
        </row>
        <row r="618">
          <cell r="B618" t="str">
            <v>KARU31AC</v>
          </cell>
          <cell r="C618" t="str">
            <v>Karunia Makmur, UD</v>
          </cell>
          <cell r="D618" t="str">
            <v>Arik Kusuma</v>
          </cell>
          <cell r="E618" t="str">
            <v>Dsn. Ringinagung, RT.006/RW.003, Kel. Pesanggaran, Kec. Pesanggaran</v>
          </cell>
          <cell r="F618" t="str">
            <v>Banyuwangi</v>
          </cell>
          <cell r="G618" t="str">
            <v>3510012510880003</v>
          </cell>
          <cell r="H618" t="str">
            <v>000000000000000</v>
          </cell>
          <cell r="I618" t="str">
            <v>Karyawan swasta</v>
          </cell>
          <cell r="J618">
            <v>18000000</v>
          </cell>
          <cell r="K618">
            <v>0</v>
          </cell>
          <cell r="L618">
            <v>18000000</v>
          </cell>
        </row>
        <row r="619">
          <cell r="B619" t="str">
            <v>KARU32AC</v>
          </cell>
          <cell r="C619" t="str">
            <v>Karunia Makmur, UD</v>
          </cell>
          <cell r="D619" t="str">
            <v>Elby Cahya Putra</v>
          </cell>
          <cell r="E619" t="str">
            <v>Dsn. Krajan, RT.003/RW.006, Kel. Purwoharjo, Kec. Purwoharjo</v>
          </cell>
          <cell r="F619" t="str">
            <v>Banyuwangi</v>
          </cell>
          <cell r="G619" t="str">
            <v>3510031410930002</v>
          </cell>
          <cell r="H619" t="str">
            <v>000000000000000</v>
          </cell>
          <cell r="I619" t="str">
            <v>Pelajar/mahasiswa</v>
          </cell>
          <cell r="J619">
            <v>18000000</v>
          </cell>
          <cell r="K619">
            <v>0</v>
          </cell>
          <cell r="L619">
            <v>18000000</v>
          </cell>
        </row>
        <row r="620">
          <cell r="B620" t="str">
            <v>KARU33AC</v>
          </cell>
          <cell r="C620" t="str">
            <v>Karunia Makmur, UD</v>
          </cell>
          <cell r="D620" t="str">
            <v>Warsiman</v>
          </cell>
          <cell r="E620" t="str">
            <v>Dsn. Cemoro, RT.001/RW.001, Kel. Balak, Kec. Songgon</v>
          </cell>
          <cell r="F620" t="str">
            <v>Banyuwangi</v>
          </cell>
          <cell r="G620" t="str">
            <v>3510190206660001</v>
          </cell>
          <cell r="H620" t="str">
            <v>000000000000000</v>
          </cell>
          <cell r="I620" t="str">
            <v>Petani/pekebun</v>
          </cell>
          <cell r="J620">
            <v>0</v>
          </cell>
          <cell r="K620">
            <v>0</v>
          </cell>
          <cell r="L620">
            <v>0</v>
          </cell>
        </row>
        <row r="621">
          <cell r="B621" t="str">
            <v>KARU34AC</v>
          </cell>
          <cell r="C621" t="str">
            <v>Karunia Makmur, UD</v>
          </cell>
          <cell r="D621" t="str">
            <v>Nunuk Kariyono</v>
          </cell>
          <cell r="E621" t="str">
            <v>Petahunan, RT.004/RW.003, Kel. Jajag, Kec. Gambiran</v>
          </cell>
          <cell r="F621" t="str">
            <v>Banyuwangi</v>
          </cell>
          <cell r="G621" t="str">
            <v>3510072512710006</v>
          </cell>
          <cell r="H621" t="str">
            <v>000000000000000</v>
          </cell>
          <cell r="I621" t="str">
            <v>Wiraswasta</v>
          </cell>
          <cell r="J621">
            <v>18000000</v>
          </cell>
          <cell r="K621">
            <v>0</v>
          </cell>
          <cell r="L621">
            <v>18000000</v>
          </cell>
        </row>
        <row r="622">
          <cell r="B622" t="str">
            <v>KARU35AC</v>
          </cell>
          <cell r="C622" t="str">
            <v>Karunia Makmur, UD</v>
          </cell>
          <cell r="D622" t="str">
            <v>Syaiful Amin</v>
          </cell>
          <cell r="E622" t="str">
            <v>Dsn. Bangeran, RT.002/RW.001, Kel. Macan Putih, Kec. Kabat</v>
          </cell>
          <cell r="F622" t="str">
            <v>Banyuwangi</v>
          </cell>
          <cell r="G622" t="str">
            <v>3510140302950005</v>
          </cell>
          <cell r="H622" t="str">
            <v>000000000000000</v>
          </cell>
          <cell r="I622" t="str">
            <v>Karyawan swasta</v>
          </cell>
          <cell r="J622">
            <v>18000000</v>
          </cell>
          <cell r="K622">
            <v>0</v>
          </cell>
          <cell r="L622">
            <v>18000000</v>
          </cell>
        </row>
        <row r="623">
          <cell r="B623" t="str">
            <v>KARU36AC</v>
          </cell>
          <cell r="C623" t="str">
            <v>Karunia Makmur, UD</v>
          </cell>
          <cell r="D623" t="str">
            <v>Rusdiawan</v>
          </cell>
          <cell r="E623" t="str">
            <v>Dsn. Krajan, RT.001/RW.001, Kel. Sraten, Kec. Cluring</v>
          </cell>
          <cell r="F623" t="str">
            <v>Banyuwangi</v>
          </cell>
          <cell r="G623" t="str">
            <v>3510061010870004</v>
          </cell>
          <cell r="H623" t="str">
            <v>000000000000000</v>
          </cell>
          <cell r="I623" t="str">
            <v>Wiraswasta</v>
          </cell>
          <cell r="J623">
            <v>18000000</v>
          </cell>
          <cell r="K623">
            <v>0</v>
          </cell>
          <cell r="L623">
            <v>18000000</v>
          </cell>
        </row>
        <row r="624">
          <cell r="B624" t="str">
            <v>KARU37AC</v>
          </cell>
          <cell r="C624" t="str">
            <v>Karunia Makmur, UD</v>
          </cell>
          <cell r="D624" t="str">
            <v>Gus Da'im</v>
          </cell>
          <cell r="E624" t="str">
            <v>Dsn. Krajan, RT.003/RW.002, Kel. Purwodadi, Kec. Gambiran</v>
          </cell>
          <cell r="F624" t="str">
            <v>Banyuwangi</v>
          </cell>
          <cell r="G624" t="str">
            <v>3510072102750001</v>
          </cell>
          <cell r="H624" t="str">
            <v>000000000000000</v>
          </cell>
          <cell r="I624" t="str">
            <v>Petani/pekebun</v>
          </cell>
          <cell r="J624">
            <v>9000000</v>
          </cell>
          <cell r="K624">
            <v>0</v>
          </cell>
          <cell r="L624">
            <v>9000000</v>
          </cell>
        </row>
        <row r="625">
          <cell r="B625" t="str">
            <v>KARU38AC</v>
          </cell>
          <cell r="C625" t="str">
            <v>Karunia Makmur, UD</v>
          </cell>
          <cell r="D625" t="str">
            <v>Marzuki.Drs.</v>
          </cell>
          <cell r="E625" t="str">
            <v>Dsn. Krajan, RT.001/RW.003, Kel. Sraten, Kec. Cluring</v>
          </cell>
          <cell r="F625" t="str">
            <v>Banyuwangi</v>
          </cell>
          <cell r="G625" t="str">
            <v>3510062612660002</v>
          </cell>
          <cell r="H625" t="str">
            <v>000000000000000</v>
          </cell>
          <cell r="I625" t="str">
            <v>PNS</v>
          </cell>
          <cell r="J625">
            <v>9000000</v>
          </cell>
          <cell r="K625">
            <v>0</v>
          </cell>
          <cell r="L625">
            <v>9000000</v>
          </cell>
        </row>
        <row r="626">
          <cell r="B626" t="str">
            <v>KARU39AC</v>
          </cell>
          <cell r="C626" t="str">
            <v>Karunia Makmur, UD</v>
          </cell>
          <cell r="D626" t="str">
            <v>Suwandi</v>
          </cell>
          <cell r="E626" t="str">
            <v>Dsn. Curahkrakal, RT.001/RW.004, Kel. Tambakrejo, Kec. Muncar</v>
          </cell>
          <cell r="F626" t="str">
            <v>Banyuwangi</v>
          </cell>
          <cell r="G626" t="str">
            <v>3510051506530005</v>
          </cell>
          <cell r="H626" t="str">
            <v>000000000000000</v>
          </cell>
          <cell r="I626" t="str">
            <v>Petani/pekebun</v>
          </cell>
          <cell r="J626">
            <v>9000000</v>
          </cell>
          <cell r="K626">
            <v>0</v>
          </cell>
          <cell r="L626">
            <v>9000000</v>
          </cell>
        </row>
        <row r="627">
          <cell r="B627" t="str">
            <v>KARU40AC</v>
          </cell>
          <cell r="C627" t="str">
            <v>Karunia Makmur, UD</v>
          </cell>
          <cell r="D627" t="str">
            <v>Faridatullilah</v>
          </cell>
          <cell r="E627" t="str">
            <v xml:space="preserve">Dsn. Pancursari, RT.003/RW.003, Kel. Benculuk, Kec. Cluring </v>
          </cell>
          <cell r="F627" t="str">
            <v>Banyuwangi</v>
          </cell>
          <cell r="G627" t="str">
            <v>3510065606770004</v>
          </cell>
          <cell r="H627" t="str">
            <v>000000000000000</v>
          </cell>
          <cell r="I627" t="str">
            <v>IRT</v>
          </cell>
          <cell r="J627">
            <v>0</v>
          </cell>
          <cell r="K627">
            <v>0</v>
          </cell>
          <cell r="L627">
            <v>0</v>
          </cell>
        </row>
        <row r="628">
          <cell r="B628" t="str">
            <v>KARU41AC</v>
          </cell>
          <cell r="C628" t="str">
            <v>Karunia Makmur, UD</v>
          </cell>
          <cell r="D628" t="str">
            <v>Hariyono</v>
          </cell>
          <cell r="E628" t="str">
            <v>Dsn. Krajan, RT.001/RW.002, Kel. Sumbersewu, Kec. Muncar</v>
          </cell>
          <cell r="F628" t="str">
            <v>Banyuwangi</v>
          </cell>
          <cell r="G628" t="str">
            <v>3510050504820003</v>
          </cell>
          <cell r="H628" t="str">
            <v>000000000000000</v>
          </cell>
          <cell r="I628" t="str">
            <v>Karyawan swasta</v>
          </cell>
          <cell r="J628">
            <v>0</v>
          </cell>
          <cell r="K628">
            <v>0</v>
          </cell>
          <cell r="L628">
            <v>0</v>
          </cell>
        </row>
        <row r="629">
          <cell r="B629" t="str">
            <v>KARU42AC</v>
          </cell>
          <cell r="C629" t="str">
            <v>Karunia Makmur, UD</v>
          </cell>
          <cell r="D629" t="str">
            <v>Salimin</v>
          </cell>
          <cell r="E629" t="str">
            <v>Dsn. Simbar II, RT.002/RW.003, Kel. Tampo, Kec. Cluring</v>
          </cell>
          <cell r="F629" t="str">
            <v>Banyuwangi</v>
          </cell>
          <cell r="G629" t="str">
            <v>3510063006590014</v>
          </cell>
          <cell r="H629" t="str">
            <v>000000000000000</v>
          </cell>
          <cell r="I629" t="str">
            <v>Wiraswasta</v>
          </cell>
          <cell r="J629">
            <v>0</v>
          </cell>
          <cell r="K629">
            <v>0</v>
          </cell>
          <cell r="L629">
            <v>0</v>
          </cell>
        </row>
        <row r="630">
          <cell r="B630" t="str">
            <v>KARU43AC</v>
          </cell>
          <cell r="C630" t="str">
            <v>Karunia Makmur, UD</v>
          </cell>
          <cell r="D630" t="str">
            <v>Sukateno</v>
          </cell>
          <cell r="E630" t="str">
            <v>Dsn. Pasembon, RT.002/RW.003, Kel. Sambirejo, Kec. Bangorejo</v>
          </cell>
          <cell r="F630" t="str">
            <v>Banyuwangi</v>
          </cell>
          <cell r="G630" t="str">
            <v>3510021205600008</v>
          </cell>
          <cell r="H630" t="str">
            <v>000000000000000</v>
          </cell>
          <cell r="I630" t="str">
            <v>Petani/pekebun</v>
          </cell>
          <cell r="J630">
            <v>0</v>
          </cell>
          <cell r="K630">
            <v>0</v>
          </cell>
          <cell r="L630">
            <v>0</v>
          </cell>
        </row>
        <row r="631">
          <cell r="B631" t="str">
            <v>KARU44AC</v>
          </cell>
          <cell r="C631" t="str">
            <v>Karunia Makmur, UD</v>
          </cell>
          <cell r="D631" t="str">
            <v>Samsudin</v>
          </cell>
          <cell r="E631" t="str">
            <v>Dsn. Jalen, RT.006/RW.003, Kel. Setail, Kec. Genteng</v>
          </cell>
          <cell r="F631" t="str">
            <v>Banyuwangi</v>
          </cell>
          <cell r="G631" t="str">
            <v>3510090408600006</v>
          </cell>
          <cell r="H631" t="str">
            <v>000000000000000</v>
          </cell>
          <cell r="I631" t="str">
            <v>Petani/pekebun</v>
          </cell>
          <cell r="J631">
            <v>0</v>
          </cell>
          <cell r="K631">
            <v>0</v>
          </cell>
          <cell r="L631">
            <v>0</v>
          </cell>
        </row>
        <row r="632">
          <cell r="B632" t="str">
            <v>KARU45AC</v>
          </cell>
          <cell r="C632" t="str">
            <v>Karunia Makmur, UD</v>
          </cell>
          <cell r="D632" t="str">
            <v>Muhammad Suhadi</v>
          </cell>
          <cell r="E632" t="str">
            <v>Jl. Teratai VII/121 Lingk. Conro Utama, RT.002/RW.006, Kel. Kaliwates, Kec. Kaliwates</v>
          </cell>
          <cell r="F632" t="str">
            <v>Jember</v>
          </cell>
          <cell r="G632" t="str">
            <v>3509190111790004</v>
          </cell>
          <cell r="H632" t="str">
            <v>000000000000000</v>
          </cell>
          <cell r="I632" t="str">
            <v>Karyawan swasta</v>
          </cell>
          <cell r="J632">
            <v>0</v>
          </cell>
          <cell r="K632">
            <v>0</v>
          </cell>
          <cell r="L632">
            <v>0</v>
          </cell>
        </row>
        <row r="633">
          <cell r="B633" t="str">
            <v>IRWA01AC</v>
          </cell>
          <cell r="C633" t="str">
            <v>Karya Tani Makmur/Irwanto</v>
          </cell>
          <cell r="D633" t="str">
            <v>Dwi Yuli Dyah Yati</v>
          </cell>
          <cell r="E633" t="str">
            <v>Dsn. Karangjati, RT.009/RW.005, Kel. Sidorejo, Kec. Kedungadem</v>
          </cell>
          <cell r="F633" t="str">
            <v>Bojonegoro</v>
          </cell>
          <cell r="G633" t="str">
            <v>3522085401930005</v>
          </cell>
          <cell r="H633" t="str">
            <v>000000000000000</v>
          </cell>
          <cell r="I633" t="str">
            <v>untuk nota T acak</v>
          </cell>
          <cell r="J633">
            <v>100043999.99991</v>
          </cell>
          <cell r="K633">
            <v>0</v>
          </cell>
          <cell r="L633">
            <v>100043999.99991</v>
          </cell>
        </row>
        <row r="634">
          <cell r="B634" t="str">
            <v>IRWA02AC</v>
          </cell>
          <cell r="C634" t="str">
            <v>Karya Tani Makmur/Irwanto</v>
          </cell>
          <cell r="D634" t="str">
            <v>Rita Sukma Andrianti</v>
          </cell>
          <cell r="E634" t="str">
            <v>Dusun Sukorame, RT.020/RW.005, Kel. Purwoasri, Kec. Sukosewu</v>
          </cell>
          <cell r="F634" t="str">
            <v>Bojonegoro</v>
          </cell>
          <cell r="G634" t="str">
            <v>3523165303020002</v>
          </cell>
          <cell r="H634" t="str">
            <v>000000000000000</v>
          </cell>
          <cell r="J634">
            <v>104802399.999816</v>
          </cell>
          <cell r="K634">
            <v>0</v>
          </cell>
          <cell r="L634">
            <v>104802399.999816</v>
          </cell>
        </row>
        <row r="635">
          <cell r="B635" t="str">
            <v>KAWA01AC</v>
          </cell>
          <cell r="C635" t="str">
            <v>Kawan Tani/Fathor</v>
          </cell>
          <cell r="D635" t="str">
            <v>Atir Rakhman</v>
          </cell>
          <cell r="E635" t="str">
            <v>Dsn. Darma, RT.018/RW.008, Kel. Bulay, Kec. Galis</v>
          </cell>
          <cell r="F635" t="str">
            <v>Pamekasan</v>
          </cell>
          <cell r="G635" t="str">
            <v>3528030503820001</v>
          </cell>
          <cell r="H635" t="str">
            <v>000000000000000</v>
          </cell>
          <cell r="J635">
            <v>0</v>
          </cell>
          <cell r="K635">
            <v>0</v>
          </cell>
          <cell r="L635">
            <v>0</v>
          </cell>
        </row>
        <row r="636">
          <cell r="B636" t="str">
            <v>KAWA02AC</v>
          </cell>
          <cell r="C636" t="str">
            <v>Kawan Tani/Fathor</v>
          </cell>
          <cell r="D636" t="str">
            <v>M Ipung Sugiarto</v>
          </cell>
          <cell r="E636" t="str">
            <v>Dsn. Billa'an, RT.001/RW.002, Kel. Montok, Kec. Larangan</v>
          </cell>
          <cell r="F636" t="str">
            <v>Pamekasan</v>
          </cell>
          <cell r="G636" t="str">
            <v>3528080807900004</v>
          </cell>
          <cell r="H636" t="str">
            <v>000000000000000</v>
          </cell>
          <cell r="J636">
            <v>0</v>
          </cell>
          <cell r="K636">
            <v>0</v>
          </cell>
          <cell r="L636">
            <v>0</v>
          </cell>
        </row>
        <row r="637">
          <cell r="B637" t="str">
            <v>KAWA03AC</v>
          </cell>
          <cell r="C637" t="str">
            <v>Kawan Tani/Fathor</v>
          </cell>
          <cell r="D637" t="str">
            <v>As Ardli Kurniawan</v>
          </cell>
          <cell r="E637" t="str">
            <v>Dsn. Solot, RT.002/RW.002, Kel. Muangan, Kec. Saronggi</v>
          </cell>
          <cell r="F637" t="str">
            <v>Sumenep</v>
          </cell>
          <cell r="G637" t="str">
            <v>3528022409860002</v>
          </cell>
          <cell r="H637" t="str">
            <v>000000000000000</v>
          </cell>
          <cell r="J637">
            <v>0</v>
          </cell>
          <cell r="K637">
            <v>0</v>
          </cell>
          <cell r="L637">
            <v>0</v>
          </cell>
        </row>
        <row r="638">
          <cell r="B638" t="str">
            <v>KSUC01AC</v>
          </cell>
          <cell r="C638" t="str">
            <v>KSU CU Sang Timur/CU Agro</v>
          </cell>
          <cell r="D638" t="str">
            <v>Yogi Fatoni</v>
          </cell>
          <cell r="E638" t="str">
            <v>Dusun Krajan, RT.001/RW.005, Kel. Purwoharjo, Kec. Purwoharjo</v>
          </cell>
          <cell r="F638" t="str">
            <v>Banyuwangi</v>
          </cell>
          <cell r="G638" t="str">
            <v>3510032912830003</v>
          </cell>
          <cell r="H638" t="str">
            <v>000000000000000</v>
          </cell>
          <cell r="J638">
            <v>0</v>
          </cell>
          <cell r="K638">
            <v>0</v>
          </cell>
          <cell r="L638">
            <v>0</v>
          </cell>
        </row>
        <row r="639">
          <cell r="B639" t="str">
            <v>LAMB01AC</v>
          </cell>
          <cell r="C639" t="str">
            <v>Lamba Rasa</v>
          </cell>
          <cell r="D639" t="str">
            <v>Maemunah</v>
          </cell>
          <cell r="E639" t="str">
            <v>Roi, RT.008/RW.002, Kel. Roi, Kec. Palibelo</v>
          </cell>
          <cell r="F639" t="str">
            <v>Bima</v>
          </cell>
          <cell r="G639" t="str">
            <v>5206184107571103</v>
          </cell>
          <cell r="H639" t="str">
            <v>000000000000000</v>
          </cell>
          <cell r="J639">
            <v>0</v>
          </cell>
          <cell r="K639">
            <v>0</v>
          </cell>
          <cell r="L639">
            <v>0</v>
          </cell>
        </row>
        <row r="640">
          <cell r="B640" t="str">
            <v>LAMB02AC</v>
          </cell>
          <cell r="C640" t="str">
            <v>Lamba Rasa</v>
          </cell>
          <cell r="D640" t="str">
            <v>Aan Ardiansyah</v>
          </cell>
          <cell r="E640" t="str">
            <v>Dore, RT.001/RW.001, Kel. Dore, Kec. Palibelo</v>
          </cell>
          <cell r="F640" t="str">
            <v>Bima</v>
          </cell>
          <cell r="G640" t="str">
            <v>5206181509010001</v>
          </cell>
          <cell r="H640" t="str">
            <v>000000000000000</v>
          </cell>
          <cell r="J640">
            <v>0</v>
          </cell>
          <cell r="K640">
            <v>0</v>
          </cell>
          <cell r="L640">
            <v>0</v>
          </cell>
        </row>
        <row r="641">
          <cell r="B641" t="str">
            <v>LAMB03AC</v>
          </cell>
          <cell r="C641" t="str">
            <v>Lamba Rasa</v>
          </cell>
          <cell r="D641" t="str">
            <v>Syarifullah</v>
          </cell>
          <cell r="E641" t="str">
            <v>Dore, RT.006/RW.003, Kel. Dore, Kec. Palibelo</v>
          </cell>
          <cell r="F641" t="str">
            <v>Bima</v>
          </cell>
          <cell r="G641" t="str">
            <v>5206182807861004</v>
          </cell>
          <cell r="H641" t="str">
            <v>000000000000000</v>
          </cell>
          <cell r="J641">
            <v>0</v>
          </cell>
          <cell r="K641">
            <v>0</v>
          </cell>
          <cell r="L641">
            <v>0</v>
          </cell>
        </row>
        <row r="642">
          <cell r="B642" t="str">
            <v>LAMB04AC</v>
          </cell>
          <cell r="C642" t="str">
            <v>Lamba Rasa</v>
          </cell>
          <cell r="D642" t="str">
            <v>Arahman</v>
          </cell>
          <cell r="E642" t="str">
            <v>Dore, RT.002/RW.001, Kel. Dore, Kec. Palibelo</v>
          </cell>
          <cell r="F642" t="str">
            <v>Bima</v>
          </cell>
          <cell r="G642" t="str">
            <v>5206031202940001</v>
          </cell>
          <cell r="H642" t="str">
            <v>000000000000000</v>
          </cell>
          <cell r="J642">
            <v>0</v>
          </cell>
          <cell r="K642">
            <v>0</v>
          </cell>
          <cell r="L642">
            <v>0</v>
          </cell>
        </row>
        <row r="643">
          <cell r="B643" t="str">
            <v>LAMB05AC</v>
          </cell>
          <cell r="C643" t="str">
            <v>Lamba Rasa</v>
          </cell>
          <cell r="D643" t="str">
            <v>Syafrudin</v>
          </cell>
          <cell r="E643" t="str">
            <v>Dore, RT.003/RW.002, Kel. Dore, Kec. Palibelo</v>
          </cell>
          <cell r="F643" t="str">
            <v>Bima</v>
          </cell>
          <cell r="G643" t="str">
            <v>5206181007911003</v>
          </cell>
          <cell r="H643" t="str">
            <v>000000000000000</v>
          </cell>
          <cell r="J643">
            <v>0</v>
          </cell>
          <cell r="K643">
            <v>0</v>
          </cell>
          <cell r="L643">
            <v>0</v>
          </cell>
        </row>
        <row r="644">
          <cell r="B644" t="str">
            <v>LAMB06AC</v>
          </cell>
          <cell r="C644" t="str">
            <v>Lamba Rasa</v>
          </cell>
          <cell r="D644" t="str">
            <v>Hadijah</v>
          </cell>
          <cell r="E644" t="str">
            <v>Dusun II, RT.005/RW.003, Kel. Dore, Kec. Palibelo</v>
          </cell>
          <cell r="F644" t="str">
            <v>Bima</v>
          </cell>
          <cell r="G644" t="str">
            <v>5206187009730001</v>
          </cell>
          <cell r="H644" t="str">
            <v>000000000000000</v>
          </cell>
          <cell r="J644">
            <v>0</v>
          </cell>
          <cell r="K644">
            <v>0</v>
          </cell>
          <cell r="L644">
            <v>0</v>
          </cell>
        </row>
        <row r="645">
          <cell r="B645" t="str">
            <v>LAMB07AC</v>
          </cell>
          <cell r="C645" t="str">
            <v>Lamba Rasa</v>
          </cell>
          <cell r="D645" t="str">
            <v>Dahliah Wati</v>
          </cell>
          <cell r="E645" t="str">
            <v>Dusun Godo, RT.015/RW.006, Kel. Dadibou, Kec. Woha</v>
          </cell>
          <cell r="F645" t="str">
            <v>Bima</v>
          </cell>
          <cell r="G645" t="str">
            <v>5206035505851008</v>
          </cell>
          <cell r="H645" t="str">
            <v>000000000000000</v>
          </cell>
          <cell r="J645">
            <v>0</v>
          </cell>
          <cell r="K645">
            <v>0</v>
          </cell>
          <cell r="L645">
            <v>0</v>
          </cell>
        </row>
        <row r="646">
          <cell r="B646" t="str">
            <v>LANG08AC</v>
          </cell>
          <cell r="C646" t="str">
            <v>Langgeng Makmur</v>
          </cell>
          <cell r="D646" t="str">
            <v>Genta Syahirul Alim</v>
          </cell>
          <cell r="E646" t="str">
            <v>Jl. Sayu Geringsing No. 63, RT.002/RW.003, Kel. Kampung Mandar, Kec. Banyuwangi</v>
          </cell>
          <cell r="F646" t="str">
            <v>Banyuwangi</v>
          </cell>
          <cell r="G646" t="str">
            <v>3510162603000003</v>
          </cell>
          <cell r="H646" t="str">
            <v>000000000000000</v>
          </cell>
          <cell r="I646" t="str">
            <v>Untuk Nota T  ACAK ,Buruh harian ( langgeng Makmur = Karunia Makmur )</v>
          </cell>
          <cell r="J646">
            <v>109854399.9996866</v>
          </cell>
          <cell r="K646">
            <v>0</v>
          </cell>
          <cell r="L646">
            <v>109854399.9996866</v>
          </cell>
        </row>
        <row r="647">
          <cell r="B647" t="str">
            <v>LANG09AC</v>
          </cell>
          <cell r="C647" t="str">
            <v>Langgeng Makmur</v>
          </cell>
          <cell r="D647" t="str">
            <v>Adi Prayoga</v>
          </cell>
          <cell r="E647" t="str">
            <v>Lingkungan Sukorojo, RT.003/RW.002, Kel. Banjarsari, Kec. Glagah</v>
          </cell>
          <cell r="F647" t="str">
            <v>Banyuwangi</v>
          </cell>
          <cell r="G647" t="str">
            <v>3510151106960002</v>
          </cell>
          <cell r="H647" t="str">
            <v>000000000000000</v>
          </cell>
          <cell r="I647" t="str">
            <v>mahasiswa</v>
          </cell>
          <cell r="J647">
            <v>163965999.99982882</v>
          </cell>
          <cell r="K647">
            <v>0</v>
          </cell>
          <cell r="L647">
            <v>163965999.99982882</v>
          </cell>
        </row>
        <row r="648">
          <cell r="B648" t="str">
            <v>LANG10AC</v>
          </cell>
          <cell r="C648" t="str">
            <v>Langgeng Makmur</v>
          </cell>
          <cell r="D648" t="str">
            <v>Vera Fitriani</v>
          </cell>
          <cell r="E648" t="str">
            <v>Perum Citra Pesona Indah II, RT.004/RW.004, Kel. Kertosari, Kec. Banyuwangi</v>
          </cell>
          <cell r="F648" t="str">
            <v>Banyuwangi</v>
          </cell>
          <cell r="G648" t="str">
            <v>3510164301010005</v>
          </cell>
          <cell r="H648" t="str">
            <v>000000000000000</v>
          </cell>
          <cell r="I648" t="str">
            <v>mahasiswa</v>
          </cell>
          <cell r="J648">
            <v>158397999.99963924</v>
          </cell>
          <cell r="K648">
            <v>0</v>
          </cell>
          <cell r="L648">
            <v>158397999.99963924</v>
          </cell>
        </row>
        <row r="649">
          <cell r="B649" t="str">
            <v>LANG11AC</v>
          </cell>
          <cell r="C649" t="str">
            <v>Langgeng Makmur</v>
          </cell>
          <cell r="D649" t="str">
            <v>Andre Trio Prawira</v>
          </cell>
          <cell r="E649" t="str">
            <v>Jl. Sekardalu, RT.003/Rw.003, Kel. Temenggungan, Kec. Banyuwangi</v>
          </cell>
          <cell r="F649" t="str">
            <v>Banyuwangi</v>
          </cell>
          <cell r="G649" t="str">
            <v>3510161609970003</v>
          </cell>
          <cell r="H649" t="str">
            <v>000000000000000</v>
          </cell>
          <cell r="I649" t="str">
            <v>Karyawan Swasta</v>
          </cell>
          <cell r="J649">
            <v>129103999.99984246</v>
          </cell>
          <cell r="K649">
            <v>0</v>
          </cell>
          <cell r="L649">
            <v>129103999.99984246</v>
          </cell>
        </row>
        <row r="650">
          <cell r="B650" t="str">
            <v>LANG12AC</v>
          </cell>
          <cell r="C650" t="str">
            <v>Langgeng Makmur</v>
          </cell>
          <cell r="D650" t="str">
            <v>Ifan Lukmantara</v>
          </cell>
          <cell r="E650" t="str">
            <v>Dusun Gunung Remuk, RT.002/RW.004, Kel. Ketapang, Kec. Kalipuro</v>
          </cell>
          <cell r="F650" t="str">
            <v>Banyuwangi</v>
          </cell>
          <cell r="G650" t="str">
            <v>3510210805990003</v>
          </cell>
          <cell r="H650" t="str">
            <v>000000000000000</v>
          </cell>
          <cell r="I650" t="str">
            <v>mahasiswa</v>
          </cell>
          <cell r="J650">
            <v>140134399.99987295</v>
          </cell>
          <cell r="K650">
            <v>0</v>
          </cell>
          <cell r="L650">
            <v>140134399.99987295</v>
          </cell>
        </row>
        <row r="651">
          <cell r="B651" t="str">
            <v>LANG13AC</v>
          </cell>
          <cell r="C651" t="str">
            <v>Langgeng Makmur</v>
          </cell>
          <cell r="D651" t="str">
            <v>Trio Muhammad Haqiqi</v>
          </cell>
          <cell r="E651" t="str">
            <v>Dusun Sumberagung, RT.003/RW.004,Kel. Karangdoro, Kec. Tegalsari</v>
          </cell>
          <cell r="F651" t="str">
            <v>Banyuwangi</v>
          </cell>
          <cell r="G651" t="str">
            <v>3510232602990002</v>
          </cell>
          <cell r="H651" t="str">
            <v>000000000000000</v>
          </cell>
          <cell r="I651" t="str">
            <v>Karyawan Swasta</v>
          </cell>
          <cell r="J651">
            <v>127443519.99979237</v>
          </cell>
          <cell r="K651">
            <v>0</v>
          </cell>
          <cell r="L651">
            <v>127443519.99979237</v>
          </cell>
        </row>
        <row r="652">
          <cell r="B652" t="str">
            <v>LANG14AC</v>
          </cell>
          <cell r="C652" t="str">
            <v>Langgeng Makmur</v>
          </cell>
          <cell r="D652" t="str">
            <v>Susiyono</v>
          </cell>
          <cell r="E652" t="str">
            <v>Dusun Sidomukti, RT.001/RW.001, Kel. Yosomulyo, Kec. Gambiran</v>
          </cell>
          <cell r="F652" t="str">
            <v>Banyuwangi</v>
          </cell>
          <cell r="G652" t="str">
            <v>3510071001800003</v>
          </cell>
          <cell r="H652" t="str">
            <v>000000000000000</v>
          </cell>
          <cell r="I652" t="str">
            <v>petani</v>
          </cell>
          <cell r="J652">
            <v>113482799.9998796</v>
          </cell>
          <cell r="K652">
            <v>0</v>
          </cell>
          <cell r="L652">
            <v>113482799.9998796</v>
          </cell>
        </row>
        <row r="653">
          <cell r="B653" t="str">
            <v>LANG15AC</v>
          </cell>
          <cell r="C653" t="str">
            <v>Langgeng Makmur</v>
          </cell>
          <cell r="D653" t="str">
            <v>Ika Noer Aini Zuhdi</v>
          </cell>
          <cell r="E653" t="str">
            <v>Dusun Kaligoro, RT.001/RW.002, Kel. Sukomaju, Kec. Srono</v>
          </cell>
          <cell r="F653" t="str">
            <v>Banyuwangi</v>
          </cell>
          <cell r="G653" t="str">
            <v>3510086107750002</v>
          </cell>
          <cell r="H653" t="str">
            <v>000000000000000</v>
          </cell>
          <cell r="I653" t="str">
            <v>Ibu rumah tangga</v>
          </cell>
          <cell r="J653">
            <v>126530799.99975252</v>
          </cell>
          <cell r="K653">
            <v>0</v>
          </cell>
          <cell r="L653">
            <v>126530799.99975252</v>
          </cell>
        </row>
        <row r="654">
          <cell r="B654" t="str">
            <v>LANG16AC</v>
          </cell>
          <cell r="C654" t="str">
            <v>Langgeng Makmur</v>
          </cell>
          <cell r="D654" t="str">
            <v>Agus Supriyanto</v>
          </cell>
          <cell r="E654" t="str">
            <v>Dusun Sukorejo, RT.004/RW.003, Kel. Sukomaju, Kec. Srono</v>
          </cell>
          <cell r="F654" t="str">
            <v>Banyuwangi</v>
          </cell>
          <cell r="G654" t="str">
            <v>3510081708820014</v>
          </cell>
          <cell r="H654" t="str">
            <v>000000000000000</v>
          </cell>
          <cell r="I654" t="str">
            <v>Wiraswasta</v>
          </cell>
          <cell r="J654">
            <v>95810799.999910697</v>
          </cell>
          <cell r="K654">
            <v>0</v>
          </cell>
          <cell r="L654">
            <v>95810799.999910697</v>
          </cell>
        </row>
        <row r="655">
          <cell r="B655" t="str">
            <v>LANG17AC</v>
          </cell>
          <cell r="C655" t="str">
            <v>Langgeng Makmur</v>
          </cell>
          <cell r="D655" t="str">
            <v>Robi Sofyan Amrullah</v>
          </cell>
          <cell r="E655" t="str">
            <v>Dsn. Palurejo, RT.002/RW.019, Kel. Tembokrejo, Kec. Muncar</v>
          </cell>
          <cell r="F655" t="str">
            <v>Banyuwangi</v>
          </cell>
          <cell r="G655" t="str">
            <v>3510050804620002</v>
          </cell>
          <cell r="H655" t="str">
            <v>000000000000000</v>
          </cell>
          <cell r="I655" t="str">
            <v>petani</v>
          </cell>
          <cell r="J655">
            <v>164542799.99963278</v>
          </cell>
          <cell r="K655">
            <v>0</v>
          </cell>
          <cell r="L655">
            <v>164542799.99963278</v>
          </cell>
        </row>
        <row r="656">
          <cell r="B656" t="str">
            <v>LANG18AC</v>
          </cell>
          <cell r="C656" t="str">
            <v>Langgeng Makmur</v>
          </cell>
          <cell r="D656" t="str">
            <v>faridatullilah</v>
          </cell>
          <cell r="E656" t="str">
            <v>Dusun Kedungrejo, RT.006/RW.006, Kel. Sambimulyo, Kec. Bangorejo</v>
          </cell>
          <cell r="F656" t="str">
            <v>Banyuwangi</v>
          </cell>
          <cell r="G656" t="str">
            <v>3510026609850002</v>
          </cell>
          <cell r="H656" t="str">
            <v>000000000000000</v>
          </cell>
          <cell r="I656" t="str">
            <v>Wiraswasta</v>
          </cell>
          <cell r="J656">
            <v>136272799.9994233</v>
          </cell>
          <cell r="K656">
            <v>0</v>
          </cell>
          <cell r="L656">
            <v>136272799.9994233</v>
          </cell>
        </row>
        <row r="657">
          <cell r="B657" t="str">
            <v>LANG19AC</v>
          </cell>
          <cell r="C657" t="str">
            <v>Langgeng Makmur</v>
          </cell>
          <cell r="D657" t="str">
            <v>Yustika Dwi Anggriyani</v>
          </cell>
          <cell r="E657" t="str">
            <v>Dsn. Curahkrakal, RT.003/RW.003, Kel. Tambakrejo, Kec. Muncar</v>
          </cell>
          <cell r="F657" t="str">
            <v>Banyuwangi</v>
          </cell>
          <cell r="G657" t="str">
            <v>3510055005740003</v>
          </cell>
          <cell r="H657" t="str">
            <v>000000000000000</v>
          </cell>
          <cell r="I657" t="str">
            <v>Wiraswasta</v>
          </cell>
          <cell r="J657">
            <v>146515999.99989101</v>
          </cell>
          <cell r="K657">
            <v>0</v>
          </cell>
          <cell r="L657">
            <v>146515999.99989101</v>
          </cell>
        </row>
        <row r="658">
          <cell r="B658" t="str">
            <v>LANG20AC</v>
          </cell>
          <cell r="C658" t="str">
            <v>Langgeng Makmur</v>
          </cell>
          <cell r="D658" t="str">
            <v>Ponirin</v>
          </cell>
          <cell r="E658" t="str">
            <v>Dusun Simbar I, RT.002/RW.004, Kel. Tampo, Kec. Cluring</v>
          </cell>
          <cell r="F658" t="str">
            <v>Banyuwangi</v>
          </cell>
          <cell r="G658" t="str">
            <v>3510061704520003</v>
          </cell>
          <cell r="H658" t="str">
            <v>000000000000000</v>
          </cell>
          <cell r="I658" t="str">
            <v>PNS</v>
          </cell>
          <cell r="J658">
            <v>156595999.99975759</v>
          </cell>
          <cell r="K658">
            <v>0</v>
          </cell>
          <cell r="L658">
            <v>156595999.99975759</v>
          </cell>
        </row>
        <row r="659">
          <cell r="B659" t="str">
            <v>LANG22AC</v>
          </cell>
          <cell r="C659" t="str">
            <v>Langgeng Makmur</v>
          </cell>
          <cell r="D659" t="str">
            <v>Andri Wiyono</v>
          </cell>
          <cell r="E659" t="str">
            <v>Dusun Umbulrejo, RT.004/RW.004, Kel. Bagorejo, Kec. Srono</v>
          </cell>
          <cell r="F659" t="str">
            <v>Banyuwangi</v>
          </cell>
          <cell r="G659" t="str">
            <v>3510081809900001</v>
          </cell>
          <cell r="H659" t="str">
            <v>000000000000000</v>
          </cell>
          <cell r="I659" t="str">
            <v>pelajar</v>
          </cell>
          <cell r="J659">
            <v>119559999.99989</v>
          </cell>
          <cell r="K659">
            <v>0</v>
          </cell>
          <cell r="L659">
            <v>119559999.99989</v>
          </cell>
        </row>
        <row r="660">
          <cell r="B660" t="str">
            <v>LANG23AC</v>
          </cell>
          <cell r="C660" t="str">
            <v>Langgeng Makmur</v>
          </cell>
          <cell r="D660" t="str">
            <v>Akhmad Ningsun</v>
          </cell>
          <cell r="E660" t="str">
            <v>Lingkungan Sukorojo, RT.002/RW.001, Kel. Banjarsari, Kec. Glagah</v>
          </cell>
          <cell r="F660" t="str">
            <v>Banyuwangi</v>
          </cell>
          <cell r="G660" t="str">
            <v>3510151909550001</v>
          </cell>
          <cell r="H660" t="str">
            <v>000000000000000</v>
          </cell>
          <cell r="I660" t="str">
            <v>Wiraswasta</v>
          </cell>
          <cell r="J660">
            <v>166103199.99972787</v>
          </cell>
          <cell r="K660">
            <v>0</v>
          </cell>
          <cell r="L660">
            <v>166103199.99972787</v>
          </cell>
        </row>
        <row r="661">
          <cell r="B661" t="str">
            <v>LANG24AC</v>
          </cell>
          <cell r="C661" t="str">
            <v>Langgeng Makmur</v>
          </cell>
          <cell r="D661" t="str">
            <v>Suryadi</v>
          </cell>
          <cell r="E661" t="str">
            <v>Dusun Mulyoasri, RT.005/RW.002, Kel. Sumbermulyo, Kec. Pesanggaran</v>
          </cell>
          <cell r="F661" t="str">
            <v>Banyuwangi</v>
          </cell>
          <cell r="G661" t="str">
            <v>3510010101700022</v>
          </cell>
          <cell r="H661" t="str">
            <v>000000000000000</v>
          </cell>
          <cell r="I661" t="str">
            <v>petani</v>
          </cell>
          <cell r="J661">
            <v>144586943.99942517</v>
          </cell>
          <cell r="K661">
            <v>0</v>
          </cell>
          <cell r="L661">
            <v>144586943.99942517</v>
          </cell>
        </row>
        <row r="662">
          <cell r="B662" t="str">
            <v>LANG25AC</v>
          </cell>
          <cell r="C662" t="str">
            <v>Langgeng Makmur</v>
          </cell>
          <cell r="D662" t="str">
            <v>Sukardi</v>
          </cell>
          <cell r="E662" t="str">
            <v>Dusun Pancer, RT.006/RW.002, Kel. Sumberagung, Kec. Pesanggaran</v>
          </cell>
          <cell r="F662" t="str">
            <v>Banyuwangi</v>
          </cell>
          <cell r="G662" t="str">
            <v>3510060604790006</v>
          </cell>
          <cell r="H662" t="str">
            <v>000000000000000</v>
          </cell>
          <cell r="I662" t="str">
            <v>petani</v>
          </cell>
          <cell r="J662">
            <v>152530799.99889591</v>
          </cell>
          <cell r="K662">
            <v>0</v>
          </cell>
          <cell r="L662">
            <v>152530799.99889591</v>
          </cell>
        </row>
        <row r="663">
          <cell r="B663" t="str">
            <v>LANG26AC</v>
          </cell>
          <cell r="C663" t="str">
            <v>Langgeng Makmur</v>
          </cell>
          <cell r="D663" t="str">
            <v>Warsan Hadi</v>
          </cell>
          <cell r="E663" t="str">
            <v>Dsn. Pasembon, RT.005/RW.004, Kel. Sambirejo, Kec. Bangorejo</v>
          </cell>
          <cell r="F663" t="str">
            <v>Banyuwangi</v>
          </cell>
          <cell r="G663" t="str">
            <v>3510011010780003</v>
          </cell>
          <cell r="H663" t="str">
            <v>000000000000000</v>
          </cell>
          <cell r="I663" t="str">
            <v>petani</v>
          </cell>
          <cell r="J663">
            <v>175036799.99924216</v>
          </cell>
          <cell r="K663">
            <v>0</v>
          </cell>
          <cell r="L663">
            <v>175036799.99924216</v>
          </cell>
        </row>
        <row r="664">
          <cell r="B664" t="str">
            <v>LANG27AC</v>
          </cell>
          <cell r="C664" t="str">
            <v>Langgeng Makmur</v>
          </cell>
          <cell r="D664" t="str">
            <v>Reni Mujiati</v>
          </cell>
          <cell r="E664" t="str">
            <v>Dsn Sidorejo Wetan, RT.003/RW.002, Kel. Yosomulyo, Kec. Gambiran</v>
          </cell>
          <cell r="F664" t="str">
            <v>Banyuwangi</v>
          </cell>
          <cell r="G664" t="str">
            <v>3510074207750003</v>
          </cell>
          <cell r="H664" t="str">
            <v>000000000000000</v>
          </cell>
          <cell r="I664" t="str">
            <v>Wiraswasta</v>
          </cell>
          <cell r="J664">
            <v>147166399.99983898</v>
          </cell>
          <cell r="K664">
            <v>0</v>
          </cell>
          <cell r="L664">
            <v>147166399.99983898</v>
          </cell>
        </row>
        <row r="665">
          <cell r="B665" t="str">
            <v>LANG28AC</v>
          </cell>
          <cell r="C665" t="str">
            <v>Langgeng Makmur</v>
          </cell>
          <cell r="D665" t="str">
            <v>Nurhadi</v>
          </cell>
          <cell r="E665" t="str">
            <v>Dusun Tulunrejo RT.001/RW.004 , Kel. Sembulung Kec. Cluring</v>
          </cell>
          <cell r="F665" t="str">
            <v>Banyuwangi</v>
          </cell>
          <cell r="G665" t="str">
            <v>3510060103670003</v>
          </cell>
          <cell r="H665" t="str">
            <v>000000000000000</v>
          </cell>
          <cell r="J665">
            <v>132664799.99966285</v>
          </cell>
          <cell r="K665">
            <v>0</v>
          </cell>
          <cell r="L665">
            <v>132664799.99966285</v>
          </cell>
          <cell r="M665" t="str">
            <v>1 KTP kios minta acak 125juta</v>
          </cell>
        </row>
        <row r="666">
          <cell r="B666" t="str">
            <v>LANG29AC</v>
          </cell>
          <cell r="C666" t="str">
            <v>Langgeng Makmur</v>
          </cell>
          <cell r="D666" t="str">
            <v>Turmudzi</v>
          </cell>
          <cell r="E666" t="str">
            <v>Dusun Krajan RT.003/RW.006 , Kel. Puwoharjo Kec. Purwoharjo</v>
          </cell>
          <cell r="F666" t="str">
            <v>Banyuwangi</v>
          </cell>
          <cell r="G666" t="str">
            <v>3510031007800002</v>
          </cell>
          <cell r="H666" t="str">
            <v>000000000000000</v>
          </cell>
          <cell r="J666">
            <v>122905599.9997595</v>
          </cell>
          <cell r="K666">
            <v>0</v>
          </cell>
          <cell r="L666">
            <v>122905599.9997595</v>
          </cell>
          <cell r="M666" t="str">
            <v>1 KTP kios minta acak 125juta</v>
          </cell>
        </row>
        <row r="667">
          <cell r="B667" t="str">
            <v>LANG30AC</v>
          </cell>
          <cell r="C667" t="str">
            <v>Langgeng Makmur</v>
          </cell>
          <cell r="D667" t="str">
            <v>Sugeng Widiyanto</v>
          </cell>
          <cell r="E667" t="str">
            <v>Dusun Tempurejo RT.006/RW.001 , Kel. Puwodadi Kec. Gambiran</v>
          </cell>
          <cell r="F667" t="str">
            <v>Banyuwangi</v>
          </cell>
          <cell r="G667" t="str">
            <v>3510071506730003</v>
          </cell>
          <cell r="H667" t="str">
            <v>000000000000000</v>
          </cell>
          <cell r="J667">
            <v>106935599.99978602</v>
          </cell>
          <cell r="K667">
            <v>0</v>
          </cell>
          <cell r="L667">
            <v>106935599.99978602</v>
          </cell>
          <cell r="M667" t="str">
            <v>1 KTP kios minta acak 125juta</v>
          </cell>
        </row>
        <row r="668">
          <cell r="B668" t="str">
            <v>LANG33AC</v>
          </cell>
          <cell r="C668" t="str">
            <v>Langgeng Makmur</v>
          </cell>
          <cell r="D668" t="str">
            <v>Teguh Wiyono</v>
          </cell>
          <cell r="E668" t="str">
            <v>Dusun Gungsari RT.001/RW.002 , Kel. Bangorejo Kec. Bangorejo</v>
          </cell>
          <cell r="F668" t="str">
            <v>Banyuwangi</v>
          </cell>
          <cell r="G668" t="str">
            <v>3510021403770001</v>
          </cell>
          <cell r="H668" t="str">
            <v>000000000000000</v>
          </cell>
          <cell r="J668">
            <v>119893199.99967293</v>
          </cell>
          <cell r="K668">
            <v>0</v>
          </cell>
          <cell r="L668">
            <v>119893199.99967293</v>
          </cell>
          <cell r="M668" t="str">
            <v>1 KTP kios minta acak 125juta</v>
          </cell>
        </row>
        <row r="669">
          <cell r="B669" t="str">
            <v>LANG34AC</v>
          </cell>
          <cell r="C669" t="str">
            <v>Langgeng Makmur</v>
          </cell>
          <cell r="D669" t="str">
            <v>Mungkasono</v>
          </cell>
          <cell r="E669" t="str">
            <v>Dusun Krajan RT.002/RW.003 , Kel. Tamanagung Kec. Cluring</v>
          </cell>
          <cell r="F669" t="str">
            <v>Banyuwangi</v>
          </cell>
          <cell r="G669" t="str">
            <v>3510061405770002</v>
          </cell>
          <cell r="H669" t="str">
            <v>000000000000000</v>
          </cell>
          <cell r="J669">
            <v>106112799.99977624</v>
          </cell>
          <cell r="K669">
            <v>0</v>
          </cell>
          <cell r="L669">
            <v>106112799.99977624</v>
          </cell>
          <cell r="M669" t="str">
            <v>1 KTP kios minta acak 125juta</v>
          </cell>
        </row>
        <row r="670">
          <cell r="B670" t="str">
            <v>LANG35AC</v>
          </cell>
          <cell r="C670" t="str">
            <v>Langgeng Makmur</v>
          </cell>
          <cell r="D670" t="str">
            <v>Miftakul Huda</v>
          </cell>
          <cell r="E670" t="str">
            <v>Dusun Yosowinangun RT.002/RW.001 , Kel. Jajag Kec. Gambiran</v>
          </cell>
          <cell r="F670" t="str">
            <v>Banyuwangi</v>
          </cell>
          <cell r="G670" t="str">
            <v>3510070205840004</v>
          </cell>
          <cell r="H670" t="str">
            <v>000000000000000</v>
          </cell>
          <cell r="J670">
            <v>119921599.99990378</v>
          </cell>
          <cell r="K670">
            <v>0</v>
          </cell>
          <cell r="L670">
            <v>119921599.99990378</v>
          </cell>
          <cell r="M670" t="str">
            <v>1 KTP kios minta acak 125juta</v>
          </cell>
        </row>
        <row r="671">
          <cell r="B671" t="str">
            <v>LANG36AC</v>
          </cell>
          <cell r="C671" t="str">
            <v>Langgeng Makmur</v>
          </cell>
          <cell r="D671" t="str">
            <v>Moh Umar</v>
          </cell>
          <cell r="E671" t="str">
            <v>Dusun Pancursari RT.004/RW.004 , Kel. Benculuk Kec. Cluring</v>
          </cell>
          <cell r="F671" t="str">
            <v>Banyuwangi</v>
          </cell>
          <cell r="G671" t="str">
            <v>3510060607810003</v>
          </cell>
          <cell r="H671" t="str">
            <v>000000000000000</v>
          </cell>
          <cell r="J671">
            <v>103696799.99970764</v>
          </cell>
          <cell r="K671">
            <v>0</v>
          </cell>
          <cell r="L671">
            <v>103696799.99970764</v>
          </cell>
          <cell r="M671" t="str">
            <v>1 KTP kios minta acak 125juta</v>
          </cell>
        </row>
        <row r="672">
          <cell r="B672" t="str">
            <v>LANG37AC</v>
          </cell>
          <cell r="C672" t="str">
            <v>Langgeng Makmur</v>
          </cell>
          <cell r="D672" t="str">
            <v>Fathkur Rohman</v>
          </cell>
          <cell r="E672" t="str">
            <v>Dusun Pancursari RT.004/RW.004 , Kel. Benculuk Kec. Cluring</v>
          </cell>
          <cell r="F672" t="str">
            <v>Banyuwangi</v>
          </cell>
          <cell r="G672" t="str">
            <v>3510061111910001</v>
          </cell>
          <cell r="H672" t="str">
            <v>000000000000000</v>
          </cell>
          <cell r="J672">
            <v>154783199.99982926</v>
          </cell>
          <cell r="K672">
            <v>0</v>
          </cell>
          <cell r="L672">
            <v>154783199.99982926</v>
          </cell>
          <cell r="M672" t="str">
            <v>1 KTP kios minta acak 125juta</v>
          </cell>
        </row>
        <row r="673">
          <cell r="B673" t="str">
            <v>LANG38AC</v>
          </cell>
          <cell r="C673" t="str">
            <v>Langgeng Makmur</v>
          </cell>
          <cell r="D673" t="str">
            <v>Imam Khoiri</v>
          </cell>
          <cell r="E673" t="str">
            <v>Dusun Mojoroto RT.003/RW.002 , Kel. Tegalsari Kec. Tegalsari</v>
          </cell>
          <cell r="F673" t="str">
            <v>Banyuwangi</v>
          </cell>
          <cell r="G673" t="str">
            <v>3510232006720001</v>
          </cell>
          <cell r="H673" t="str">
            <v>000000000000000</v>
          </cell>
          <cell r="J673">
            <v>120660399.9999202</v>
          </cell>
          <cell r="K673">
            <v>0</v>
          </cell>
          <cell r="L673">
            <v>120660399.9999202</v>
          </cell>
          <cell r="M673" t="str">
            <v>1 KTP kios minta acak 125juta</v>
          </cell>
        </row>
        <row r="674">
          <cell r="B674" t="str">
            <v>LANG39AC</v>
          </cell>
          <cell r="C674" t="str">
            <v>Langgeng Makmur</v>
          </cell>
          <cell r="D674" t="str">
            <v>Mahmudi</v>
          </cell>
          <cell r="E674" t="str">
            <v>Dusun Krajan RT.002/RW.003 , Kel. Tapanrejo Kec. Muncar</v>
          </cell>
          <cell r="F674" t="str">
            <v>Banyuwangi</v>
          </cell>
          <cell r="G674" t="str">
            <v>3510052005650001</v>
          </cell>
          <cell r="H674" t="str">
            <v>000000000000000</v>
          </cell>
          <cell r="J674">
            <v>96802879.999672055</v>
          </cell>
          <cell r="K674">
            <v>0</v>
          </cell>
          <cell r="L674">
            <v>96802879.999672055</v>
          </cell>
          <cell r="M674" t="str">
            <v>1 KTP kios minta acak 125juta</v>
          </cell>
        </row>
        <row r="675">
          <cell r="B675" t="str">
            <v>LANG41AC</v>
          </cell>
          <cell r="C675" t="str">
            <v>Langgeng Makmur</v>
          </cell>
          <cell r="D675" t="str">
            <v>Sugiyanto</v>
          </cell>
          <cell r="E675" t="str">
            <v>Dusun Krajan RT.003/RW.005 , Kel. Plampangrejo Kec. Cluring</v>
          </cell>
          <cell r="F675" t="str">
            <v>Banyuwangi</v>
          </cell>
          <cell r="G675" t="str">
            <v>3510061403780003</v>
          </cell>
          <cell r="H675" t="str">
            <v>000000000000000</v>
          </cell>
          <cell r="J675">
            <v>82316799.999911457</v>
          </cell>
          <cell r="K675">
            <v>0</v>
          </cell>
          <cell r="L675">
            <v>82316799.999911457</v>
          </cell>
          <cell r="M675" t="str">
            <v>u/ nota langgeng cabrio amistartop 25/11/25, dan u/ nota an ismail</v>
          </cell>
        </row>
        <row r="676">
          <cell r="B676" t="str">
            <v>LANG42AC</v>
          </cell>
          <cell r="C676" t="str">
            <v>Langgeng Makmur</v>
          </cell>
          <cell r="D676" t="str">
            <v>Mahmad Hariyadi, S.E.</v>
          </cell>
          <cell r="E676" t="str">
            <v>Dusun Sumberjaya RT.002/RW.002 , Kel. Wringinagung Kec. Gambiran</v>
          </cell>
          <cell r="F676" t="str">
            <v>Banyuwangi</v>
          </cell>
          <cell r="G676" t="str">
            <v>3510072904790004</v>
          </cell>
          <cell r="H676" t="str">
            <v>000000000000000</v>
          </cell>
          <cell r="I676" t="str">
            <v>KTP jgn dipakai acak krn orngnya sdh ada nama ini di komersil</v>
          </cell>
          <cell r="J676">
            <v>588000</v>
          </cell>
          <cell r="K676">
            <v>0</v>
          </cell>
          <cell r="L676">
            <v>588000</v>
          </cell>
          <cell r="M676" t="str">
            <v>u/ nota langgeng cabrio amistartop 25/11/25, dan u/ nota an ismail</v>
          </cell>
        </row>
        <row r="677">
          <cell r="B677" t="str">
            <v>LANG43AC</v>
          </cell>
          <cell r="C677" t="str">
            <v>Langgeng Makmur</v>
          </cell>
          <cell r="D677" t="str">
            <v>Abdul Ghofur</v>
          </cell>
          <cell r="E677" t="str">
            <v>Dusun Pasembon RT.002/RW.002 , Kel. Sambirejo Kec. Bangorejo</v>
          </cell>
          <cell r="F677" t="str">
            <v>Banyuwangi</v>
          </cell>
          <cell r="G677" t="str">
            <v>3510022008800005</v>
          </cell>
          <cell r="H677" t="str">
            <v>000000000000000</v>
          </cell>
          <cell r="J677">
            <v>94463999.998851806</v>
          </cell>
          <cell r="K677">
            <v>0</v>
          </cell>
          <cell r="L677">
            <v>94463999.998851806</v>
          </cell>
        </row>
        <row r="678">
          <cell r="B678" t="str">
            <v>LANG44AC</v>
          </cell>
          <cell r="C678" t="str">
            <v>Langgeng Makmur</v>
          </cell>
          <cell r="D678" t="str">
            <v>Andi Suwito</v>
          </cell>
          <cell r="E678" t="str">
            <v>Dusun Mojoroto RT.001/RW.002 , Kel. Tegalsari Kec. Tegalsari</v>
          </cell>
          <cell r="F678" t="str">
            <v>Banyuwangi</v>
          </cell>
          <cell r="G678" t="str">
            <v>3510230505820009</v>
          </cell>
          <cell r="H678" t="str">
            <v>000000000000000</v>
          </cell>
          <cell r="J678">
            <v>85807999.999899209</v>
          </cell>
          <cell r="K678">
            <v>0</v>
          </cell>
          <cell r="L678">
            <v>85807999.999899209</v>
          </cell>
        </row>
        <row r="679">
          <cell r="B679" t="str">
            <v>LANG45AC</v>
          </cell>
          <cell r="C679" t="str">
            <v>Langgeng Makmur</v>
          </cell>
          <cell r="D679" t="str">
            <v>Andika Fauzi</v>
          </cell>
          <cell r="E679" t="str">
            <v>Dusun Tulunrejo RT.002/RW.004 , Kel. Sembulun Kec. Cluring</v>
          </cell>
          <cell r="F679" t="str">
            <v>Banyuwangi</v>
          </cell>
          <cell r="G679" t="str">
            <v>3510060209860007</v>
          </cell>
          <cell r="H679" t="str">
            <v>000000000000000</v>
          </cell>
          <cell r="J679">
            <v>98511999.999697894</v>
          </cell>
          <cell r="K679">
            <v>0</v>
          </cell>
          <cell r="L679">
            <v>98511999.999697894</v>
          </cell>
        </row>
        <row r="680">
          <cell r="B680" t="str">
            <v>LANG46AC</v>
          </cell>
          <cell r="C680" t="str">
            <v>Langgeng Makmur</v>
          </cell>
          <cell r="D680" t="str">
            <v>Ardani</v>
          </cell>
          <cell r="E680" t="str">
            <v>Sumberkepuh RT.014/RW.002 , Kel. Kedungwungu Kec. Tegaldlimo</v>
          </cell>
          <cell r="F680" t="str">
            <v>Banyuwangi</v>
          </cell>
          <cell r="G680" t="str">
            <v>3510042010720004</v>
          </cell>
          <cell r="H680" t="str">
            <v>000000000000000</v>
          </cell>
          <cell r="J680">
            <v>101247999.99970719</v>
          </cell>
          <cell r="K680">
            <v>0</v>
          </cell>
          <cell r="L680">
            <v>101247999.99970719</v>
          </cell>
        </row>
        <row r="681">
          <cell r="B681" t="str">
            <v>LANG47AC</v>
          </cell>
          <cell r="C681" t="str">
            <v>Langgeng Makmur</v>
          </cell>
          <cell r="D681" t="str">
            <v>Bagus Baidowi Akbar</v>
          </cell>
          <cell r="E681" t="str">
            <v>Dusun Wijenan Kidul RT.002/RW.002 , Kel. Singolatren, Kec. Singojuruh</v>
          </cell>
          <cell r="F681" t="str">
            <v>Banyuwangi</v>
          </cell>
          <cell r="G681" t="str">
            <v>3510120306970001</v>
          </cell>
          <cell r="H681" t="str">
            <v>000000000000000</v>
          </cell>
          <cell r="J681">
            <v>73305999.999756992</v>
          </cell>
          <cell r="K681">
            <v>0</v>
          </cell>
          <cell r="L681">
            <v>73305999.999756992</v>
          </cell>
        </row>
        <row r="682">
          <cell r="B682" t="str">
            <v>LANG48AC</v>
          </cell>
          <cell r="C682" t="str">
            <v>Langgeng Makmur</v>
          </cell>
          <cell r="D682" t="str">
            <v>Bagus Hartono</v>
          </cell>
          <cell r="E682" t="str">
            <v>Dusun Klontang RT.004/RW.005 , Kel. Gendoh Kec. Sempu</v>
          </cell>
          <cell r="F682" t="str">
            <v>Banyuwangi</v>
          </cell>
          <cell r="G682" t="str">
            <v>3510202011980002</v>
          </cell>
          <cell r="H682" t="str">
            <v>000000000000000</v>
          </cell>
          <cell r="J682">
            <v>66715999.999860503</v>
          </cell>
          <cell r="K682">
            <v>0</v>
          </cell>
          <cell r="L682">
            <v>66715999.999860503</v>
          </cell>
        </row>
        <row r="683">
          <cell r="B683" t="str">
            <v>LANG49AC</v>
          </cell>
          <cell r="C683" t="str">
            <v>Langgeng Makmur</v>
          </cell>
          <cell r="D683" t="str">
            <v>Choirul Anam</v>
          </cell>
          <cell r="E683" t="str">
            <v>Dusun Mojoroto RT.006/RW.001 , Kel, Tegalsari Kec. Tegalsari</v>
          </cell>
          <cell r="F683" t="str">
            <v>Banyuwangi</v>
          </cell>
          <cell r="G683" t="str">
            <v>3510233006540009</v>
          </cell>
          <cell r="H683" t="str">
            <v>000000000000000</v>
          </cell>
          <cell r="J683">
            <v>64575999.999949001</v>
          </cell>
          <cell r="K683">
            <v>0</v>
          </cell>
          <cell r="L683">
            <v>64575999.999949001</v>
          </cell>
        </row>
        <row r="684">
          <cell r="B684" t="str">
            <v>LANG50AC</v>
          </cell>
          <cell r="C684" t="str">
            <v>Langgeng Makmur</v>
          </cell>
          <cell r="D684" t="str">
            <v>Deby Rudiyanto</v>
          </cell>
          <cell r="E684" t="str">
            <v>Dusun Sukodadi RT.001/RW.001 , Kel. Sraten kec. Cluring</v>
          </cell>
          <cell r="F684" t="str">
            <v>Banyuwangi</v>
          </cell>
          <cell r="G684" t="str">
            <v>3510060506920007</v>
          </cell>
          <cell r="H684" t="str">
            <v>000000000000000</v>
          </cell>
          <cell r="J684">
            <v>53815999.999949001</v>
          </cell>
          <cell r="K684">
            <v>0</v>
          </cell>
          <cell r="L684">
            <v>53815999.999949001</v>
          </cell>
        </row>
        <row r="685">
          <cell r="B685" t="str">
            <v>LANG51AC</v>
          </cell>
          <cell r="C685" t="str">
            <v>Langgeng Makmur</v>
          </cell>
          <cell r="D685" t="str">
            <v>Edi Sugianto</v>
          </cell>
          <cell r="E685" t="str">
            <v>Jalan Air Port No. 23 RT.003/RW.000 , Kel. Tanjung Limau Kec. Muara Badak</v>
          </cell>
          <cell r="F685" t="str">
            <v>Kutai Kertanegara</v>
          </cell>
          <cell r="G685" t="str">
            <v>6402050101810002</v>
          </cell>
          <cell r="H685" t="str">
            <v>000000000000000</v>
          </cell>
          <cell r="J685">
            <v>57975999.999637403</v>
          </cell>
          <cell r="K685">
            <v>0</v>
          </cell>
          <cell r="L685">
            <v>57975999.999637403</v>
          </cell>
        </row>
        <row r="686">
          <cell r="B686" t="str">
            <v>LANG52AC</v>
          </cell>
          <cell r="C686" t="str">
            <v>Langgeng Makmur</v>
          </cell>
          <cell r="D686" t="str">
            <v>Fenny Nila Fitria</v>
          </cell>
          <cell r="E686" t="str">
            <v>Dusun Cemetuk RT.004/RW.005 , Kel. Cluring Kec. Cluring</v>
          </cell>
          <cell r="F686" t="str">
            <v>Banyuwangi</v>
          </cell>
          <cell r="G686" t="str">
            <v>3510065202970007</v>
          </cell>
          <cell r="H686" t="str">
            <v>000000000000000</v>
          </cell>
          <cell r="J686">
            <v>89026399.999774605</v>
          </cell>
          <cell r="K686">
            <v>0</v>
          </cell>
          <cell r="L686">
            <v>89026399.999774605</v>
          </cell>
        </row>
        <row r="687">
          <cell r="B687" t="str">
            <v>LANG53AC</v>
          </cell>
          <cell r="C687" t="str">
            <v>Langgeng Makmur</v>
          </cell>
          <cell r="D687" t="str">
            <v>Hariyanto</v>
          </cell>
          <cell r="E687" t="str">
            <v>Dusun Sukodadi RT.002/RW.003 , Kel, Sraten Kec. Cluring</v>
          </cell>
          <cell r="F687" t="str">
            <v>Banyuwangi</v>
          </cell>
          <cell r="G687" t="str">
            <v>3510061503770007</v>
          </cell>
          <cell r="H687" t="str">
            <v>000000000000000</v>
          </cell>
          <cell r="J687">
            <v>83247999.999945998</v>
          </cell>
          <cell r="K687">
            <v>0</v>
          </cell>
          <cell r="L687">
            <v>83247999.999945998</v>
          </cell>
        </row>
        <row r="688">
          <cell r="B688" t="str">
            <v>LANG54AC</v>
          </cell>
          <cell r="C688" t="str">
            <v>Langgeng Makmur</v>
          </cell>
          <cell r="D688" t="str">
            <v>Harnoko</v>
          </cell>
          <cell r="E688" t="str">
            <v>Dusun Salamrejo RT.003/RW.002 , Kel. Sumbergondo Kec. Glenmore</v>
          </cell>
          <cell r="F688" t="str">
            <v>Banyuwangi</v>
          </cell>
          <cell r="G688" t="str">
            <v>3510100904810001</v>
          </cell>
          <cell r="H688" t="str">
            <v>000000000000000</v>
          </cell>
          <cell r="J688">
            <v>83248000</v>
          </cell>
          <cell r="K688">
            <v>0</v>
          </cell>
          <cell r="L688">
            <v>83248000</v>
          </cell>
        </row>
        <row r="689">
          <cell r="B689" t="str">
            <v>LANG55AC</v>
          </cell>
          <cell r="C689" t="str">
            <v>Langgeng Makmur</v>
          </cell>
          <cell r="D689" t="str">
            <v>Heri Susanto</v>
          </cell>
          <cell r="E689" t="str">
            <v>Dusun Cemetuk RT.003/RW.003 , Kel. Cluring Kec. Cluring</v>
          </cell>
          <cell r="F689" t="str">
            <v>Banyuwangi</v>
          </cell>
          <cell r="G689" t="str">
            <v>3510061711680002</v>
          </cell>
          <cell r="H689" t="str">
            <v>000000000000000</v>
          </cell>
          <cell r="J689">
            <v>88079999.999964997</v>
          </cell>
          <cell r="K689">
            <v>0</v>
          </cell>
          <cell r="L689">
            <v>88079999.999964997</v>
          </cell>
        </row>
        <row r="690">
          <cell r="B690" t="str">
            <v>LANG56AC</v>
          </cell>
          <cell r="C690" t="str">
            <v>Langgeng Makmur</v>
          </cell>
          <cell r="D690" t="str">
            <v>Imam Taufiq</v>
          </cell>
          <cell r="E690" t="str">
            <v>Dusun Pancusari RT.003/RW.001 , Kel. Benculuk Kec. Cluring</v>
          </cell>
          <cell r="F690" t="str">
            <v>Banyuwangi</v>
          </cell>
          <cell r="G690" t="str">
            <v>3510061708720004</v>
          </cell>
          <cell r="H690" t="str">
            <v>000000000000000</v>
          </cell>
          <cell r="J690">
            <v>96839999.999762401</v>
          </cell>
          <cell r="K690">
            <v>0</v>
          </cell>
          <cell r="L690">
            <v>96839999.999762401</v>
          </cell>
        </row>
        <row r="691">
          <cell r="B691" t="str">
            <v>LANG57AC</v>
          </cell>
          <cell r="C691" t="str">
            <v>Langgeng Makmur</v>
          </cell>
          <cell r="D691" t="str">
            <v>Khoirul Nurudin</v>
          </cell>
          <cell r="E691" t="str">
            <v>Dusun Gumukrejo RT.006/RW.002 , Kel. Sidorejo Kec. Purwoharjo</v>
          </cell>
          <cell r="F691" t="str">
            <v>Banyuwangi</v>
          </cell>
          <cell r="G691" t="str">
            <v>3510030405910003</v>
          </cell>
          <cell r="H691" t="str">
            <v>000000000000000</v>
          </cell>
          <cell r="J691">
            <v>99496000</v>
          </cell>
          <cell r="K691">
            <v>0</v>
          </cell>
          <cell r="L691">
            <v>99496000</v>
          </cell>
        </row>
        <row r="692">
          <cell r="B692" t="str">
            <v>LANG58AC</v>
          </cell>
          <cell r="C692" t="str">
            <v>Langgeng Makmur</v>
          </cell>
          <cell r="D692" t="str">
            <v>Masduki, H</v>
          </cell>
          <cell r="E692" t="str">
            <v>Dusun Kaligoro RT.005/RW.003 , Kel. Sukomaju Kec. Srono</v>
          </cell>
          <cell r="F692" t="str">
            <v>Banyuwangi</v>
          </cell>
          <cell r="G692" t="str">
            <v>3510080507640005</v>
          </cell>
          <cell r="H692" t="str">
            <v>000000000000000</v>
          </cell>
          <cell r="J692">
            <v>94215999.999001995</v>
          </cell>
          <cell r="K692">
            <v>0</v>
          </cell>
          <cell r="L692">
            <v>94215999.999001995</v>
          </cell>
        </row>
        <row r="693">
          <cell r="B693" t="str">
            <v>LANG59AC</v>
          </cell>
          <cell r="C693" t="str">
            <v>Langgeng Makmur</v>
          </cell>
          <cell r="D693" t="str">
            <v>Mohamad Faisal Hawari</v>
          </cell>
          <cell r="E693" t="str">
            <v>Dusun Pasembon RT.005/RW.001 , Kel. Sambirejo Kec. Bangorejo</v>
          </cell>
          <cell r="F693" t="str">
            <v>Banyuwangi</v>
          </cell>
          <cell r="G693" t="str">
            <v>3510022409010008</v>
          </cell>
          <cell r="H693" t="str">
            <v>000000000000000</v>
          </cell>
          <cell r="J693">
            <v>100029999.99941075</v>
          </cell>
          <cell r="K693">
            <v>0</v>
          </cell>
          <cell r="L693">
            <v>100029999.99941075</v>
          </cell>
        </row>
        <row r="694">
          <cell r="B694" t="str">
            <v>LANG60AC</v>
          </cell>
          <cell r="C694" t="str">
            <v>Langgeng Makmur</v>
          </cell>
          <cell r="D694" t="str">
            <v>Mugi Prihantoro</v>
          </cell>
          <cell r="E694" t="str">
            <v>Dusun Gunungsari RT.002/RW.001 , Kel. Sumbergondo Kec. Glenmore</v>
          </cell>
          <cell r="F694" t="str">
            <v>Banyuwangi</v>
          </cell>
          <cell r="G694" t="str">
            <v>3510091118910005</v>
          </cell>
          <cell r="H694" t="str">
            <v>000000000000000</v>
          </cell>
          <cell r="J694">
            <v>72591999.9999796</v>
          </cell>
          <cell r="K694">
            <v>0</v>
          </cell>
          <cell r="L694">
            <v>72591999.9999796</v>
          </cell>
        </row>
        <row r="695">
          <cell r="B695" t="str">
            <v>LANG61AC</v>
          </cell>
          <cell r="C695" t="str">
            <v>Langgeng Makmur</v>
          </cell>
          <cell r="D695" t="str">
            <v>Ninik Suprapti</v>
          </cell>
          <cell r="E695" t="str">
            <v>Dusun Bangorejo RT.001/RW.005 , Kel. Bangorejo Kec. Bangorejo</v>
          </cell>
          <cell r="F695" t="str">
            <v>Banyuwangi</v>
          </cell>
          <cell r="G695" t="str">
            <v>3510024706730003</v>
          </cell>
          <cell r="H695" t="str">
            <v>000000000000000</v>
          </cell>
          <cell r="J695">
            <v>74471999.999696404</v>
          </cell>
          <cell r="K695">
            <v>0</v>
          </cell>
          <cell r="L695">
            <v>74471999.999696404</v>
          </cell>
        </row>
        <row r="696">
          <cell r="B696" t="str">
            <v>LANG62AC</v>
          </cell>
          <cell r="C696" t="str">
            <v>Langgeng Makmur</v>
          </cell>
          <cell r="D696" t="str">
            <v>Nur Kholis</v>
          </cell>
          <cell r="E696" t="str">
            <v>Dusun Jenisari RT.001/RW.001 , Kel. Genteng Kulon Kec. Genteng</v>
          </cell>
          <cell r="F696" t="str">
            <v>Banyuwangi</v>
          </cell>
          <cell r="G696" t="str">
            <v>3510091403760004</v>
          </cell>
          <cell r="H696" t="str">
            <v>000000000000000</v>
          </cell>
          <cell r="J696">
            <v>81863999.999702007</v>
          </cell>
          <cell r="K696">
            <v>0</v>
          </cell>
          <cell r="L696">
            <v>81863999.999702007</v>
          </cell>
        </row>
        <row r="697">
          <cell r="B697" t="str">
            <v>LANG63AC</v>
          </cell>
          <cell r="C697" t="str">
            <v>Langgeng Makmur</v>
          </cell>
          <cell r="D697" t="str">
            <v>Siswanto</v>
          </cell>
          <cell r="E697" t="str">
            <v>Dusun Tapansari RT.003/RW.003 , Kel. Sraten Kec. Cluring</v>
          </cell>
          <cell r="F697" t="str">
            <v>Banyuwangi</v>
          </cell>
          <cell r="G697" t="str">
            <v>3510060707760005</v>
          </cell>
          <cell r="H697" t="str">
            <v>000000000000000</v>
          </cell>
          <cell r="J697">
            <v>94333999.999855995</v>
          </cell>
          <cell r="K697">
            <v>0</v>
          </cell>
          <cell r="L697">
            <v>94333999.999855995</v>
          </cell>
        </row>
        <row r="698">
          <cell r="B698" t="str">
            <v>LANG64AC</v>
          </cell>
          <cell r="C698" t="str">
            <v>Langgeng Makmur</v>
          </cell>
          <cell r="D698" t="str">
            <v>Sulistiani</v>
          </cell>
          <cell r="E698" t="str">
            <v>Dusun Plosorejo RT.001/RW.005 , Kel. Kaliploso Kec. Cluring</v>
          </cell>
          <cell r="F698" t="str">
            <v>Banyuwangi</v>
          </cell>
          <cell r="G698" t="str">
            <v>3510064205750001</v>
          </cell>
          <cell r="H698" t="str">
            <v>000000000000000</v>
          </cell>
          <cell r="J698">
            <v>81899999.999799997</v>
          </cell>
          <cell r="K698">
            <v>0</v>
          </cell>
          <cell r="L698">
            <v>81899999.999799997</v>
          </cell>
        </row>
        <row r="699">
          <cell r="B699" t="str">
            <v>LANG65AC</v>
          </cell>
          <cell r="C699" t="str">
            <v>Langgeng Makmur</v>
          </cell>
          <cell r="D699" t="str">
            <v>Sumantri</v>
          </cell>
          <cell r="E699" t="str">
            <v>Dusun Sukodadi RT.004/RW.002 , Kel. Sraten Kec. Cluring</v>
          </cell>
          <cell r="F699" t="str">
            <v>Banyuwangi</v>
          </cell>
          <cell r="G699" t="str">
            <v>3510060302680001</v>
          </cell>
          <cell r="H699" t="str">
            <v>000000000000000</v>
          </cell>
          <cell r="J699">
            <v>67687999.999998361</v>
          </cell>
          <cell r="K699">
            <v>0</v>
          </cell>
          <cell r="L699">
            <v>67687999.999998361</v>
          </cell>
        </row>
        <row r="700">
          <cell r="B700" t="str">
            <v>LANG66AC</v>
          </cell>
          <cell r="C700" t="str">
            <v>Langgeng Makmur</v>
          </cell>
          <cell r="D700" t="str">
            <v>Sunalis Novitasari</v>
          </cell>
          <cell r="E700" t="str">
            <v>Dusun Sumbergroto RT.005/RW.002 , Kel. Rejoagung Kec. Srono</v>
          </cell>
          <cell r="F700" t="str">
            <v>Banyuwangi</v>
          </cell>
          <cell r="G700" t="str">
            <v>3510084506780014</v>
          </cell>
          <cell r="H700" t="str">
            <v>000000000000000</v>
          </cell>
          <cell r="J700">
            <v>98815999.999922007</v>
          </cell>
          <cell r="K700">
            <v>0</v>
          </cell>
          <cell r="L700">
            <v>98815999.999922007</v>
          </cell>
        </row>
        <row r="701">
          <cell r="B701" t="str">
            <v>LANG67AC</v>
          </cell>
          <cell r="C701" t="str">
            <v>Langgeng Makmur</v>
          </cell>
          <cell r="D701" t="str">
            <v>Superik</v>
          </cell>
          <cell r="E701" t="str">
            <v>Dusun Pekiwen RT.003/RW.004 , Kel. Kaliagung Kec. Blimbingsari</v>
          </cell>
          <cell r="F701" t="str">
            <v>Banyuwangi</v>
          </cell>
          <cell r="G701" t="str">
            <v>3510131206600003</v>
          </cell>
          <cell r="H701" t="str">
            <v>000000000000000</v>
          </cell>
          <cell r="J701">
            <v>81987999.999889195</v>
          </cell>
          <cell r="K701">
            <v>0</v>
          </cell>
          <cell r="L701">
            <v>81987999.999889195</v>
          </cell>
        </row>
        <row r="702">
          <cell r="B702" t="str">
            <v>LANG68AC</v>
          </cell>
          <cell r="C702" t="str">
            <v>Langgeng Makmur</v>
          </cell>
          <cell r="D702" t="str">
            <v>Teguh Wiyono</v>
          </cell>
          <cell r="E702" t="str">
            <v>Dusun Trembelang RT.002/RW.001 , Kel. Cluring Kec. Cluring</v>
          </cell>
          <cell r="F702" t="str">
            <v>Banyuwangi</v>
          </cell>
          <cell r="G702" t="str">
            <v>3510060911670001</v>
          </cell>
          <cell r="H702" t="str">
            <v>000000000000000</v>
          </cell>
          <cell r="J702">
            <v>84815599.999908</v>
          </cell>
          <cell r="K702">
            <v>0</v>
          </cell>
          <cell r="L702">
            <v>84815599.999908</v>
          </cell>
        </row>
        <row r="703">
          <cell r="B703" t="str">
            <v>LANG69AC</v>
          </cell>
          <cell r="C703" t="str">
            <v>Langgeng Makmur</v>
          </cell>
          <cell r="D703" t="str">
            <v>Waluyo</v>
          </cell>
          <cell r="E703" t="str">
            <v>Dusun Sidomukti RT.002/RW.001 , Kel. Yosomulyo Kec. Gambiran</v>
          </cell>
          <cell r="F703" t="str">
            <v>Banyuwangi</v>
          </cell>
          <cell r="G703" t="str">
            <v>3510071505790007</v>
          </cell>
          <cell r="H703" t="str">
            <v>000000000000000</v>
          </cell>
          <cell r="J703">
            <v>82163999.999868348</v>
          </cell>
          <cell r="K703">
            <v>0</v>
          </cell>
          <cell r="L703">
            <v>82163999.999868348</v>
          </cell>
        </row>
        <row r="704">
          <cell r="B704" t="str">
            <v>LANG70AC</v>
          </cell>
          <cell r="C704" t="str">
            <v>Langgeng Makmur</v>
          </cell>
          <cell r="D704" t="str">
            <v>Wendy Kristanto</v>
          </cell>
          <cell r="E704" t="str">
            <v>Dsn. Ringinmulyo, RT.002/RW.004, Kel. Pesanggaran, Kec. Pesanggaran</v>
          </cell>
          <cell r="F704" t="str">
            <v>Banyuwangi</v>
          </cell>
          <cell r="G704" t="str">
            <v>3510011604820003</v>
          </cell>
          <cell r="H704" t="str">
            <v>000000000000000</v>
          </cell>
          <cell r="I704" t="str">
            <v>Petani/pekebun</v>
          </cell>
          <cell r="J704">
            <v>61167999.999807999</v>
          </cell>
          <cell r="K704">
            <v>0</v>
          </cell>
          <cell r="L704">
            <v>61167999.999807999</v>
          </cell>
        </row>
        <row r="705">
          <cell r="B705" t="str">
            <v>LANGK01AC</v>
          </cell>
          <cell r="C705" t="str">
            <v>Langkah Pasti</v>
          </cell>
          <cell r="D705" t="str">
            <v>Amnah</v>
          </cell>
          <cell r="E705" t="str">
            <v>Lido, RT.006/RW.003, Kel. Lido, Kec. Belo</v>
          </cell>
          <cell r="F705" t="str">
            <v>Bima</v>
          </cell>
          <cell r="G705" t="str">
            <v>5206047112640051</v>
          </cell>
          <cell r="H705" t="str">
            <v>000000000000000</v>
          </cell>
          <cell r="J705">
            <v>0</v>
          </cell>
          <cell r="K705">
            <v>0</v>
          </cell>
          <cell r="L705">
            <v>0</v>
          </cell>
        </row>
        <row r="706">
          <cell r="B706" t="str">
            <v>LANGK02AC</v>
          </cell>
          <cell r="C706" t="str">
            <v>Langkah Pasti</v>
          </cell>
          <cell r="D706" t="str">
            <v>Mahfud</v>
          </cell>
          <cell r="E706" t="str">
            <v>Ngali, RT.011/RW.004, Kel. Ngali, Kec. Belo</v>
          </cell>
          <cell r="F706" t="str">
            <v>Bima</v>
          </cell>
          <cell r="G706" t="str">
            <v>5206041502730002</v>
          </cell>
          <cell r="H706" t="str">
            <v>000000000000000</v>
          </cell>
          <cell r="J706">
            <v>0</v>
          </cell>
          <cell r="K706">
            <v>0</v>
          </cell>
          <cell r="L706">
            <v>0</v>
          </cell>
        </row>
        <row r="707">
          <cell r="B707" t="str">
            <v>LANGK03AC</v>
          </cell>
          <cell r="C707" t="str">
            <v>Langkah Pasti</v>
          </cell>
          <cell r="D707" t="str">
            <v>Ma'Anti</v>
          </cell>
          <cell r="E707" t="str">
            <v>Ngali, RT.011/RW.004, Kel. Ngali, Kec. Belo</v>
          </cell>
          <cell r="F707" t="str">
            <v>Bima</v>
          </cell>
          <cell r="G707" t="str">
            <v>5206045006790001</v>
          </cell>
          <cell r="H707" t="str">
            <v>000000000000000</v>
          </cell>
          <cell r="J707">
            <v>0</v>
          </cell>
          <cell r="K707">
            <v>0</v>
          </cell>
          <cell r="L707">
            <v>0</v>
          </cell>
        </row>
        <row r="708">
          <cell r="B708" t="str">
            <v>LANGK04AC</v>
          </cell>
          <cell r="C708" t="str">
            <v>Langkah Pasti</v>
          </cell>
          <cell r="D708" t="str">
            <v>Adiman</v>
          </cell>
          <cell r="E708" t="str">
            <v>Lido, RT.003/RW.001, Kel. Lido, Kec. Belo</v>
          </cell>
          <cell r="F708" t="str">
            <v>Bima</v>
          </cell>
          <cell r="G708" t="str">
            <v>5206012807930001</v>
          </cell>
          <cell r="H708" t="str">
            <v>000000000000000</v>
          </cell>
          <cell r="J708">
            <v>0</v>
          </cell>
          <cell r="K708">
            <v>0</v>
          </cell>
          <cell r="L708">
            <v>0</v>
          </cell>
        </row>
        <row r="709">
          <cell r="B709" t="str">
            <v>LANGK05AC</v>
          </cell>
          <cell r="C709" t="str">
            <v>Langkah Pasti</v>
          </cell>
          <cell r="D709" t="str">
            <v>Sudirman</v>
          </cell>
          <cell r="E709" t="str">
            <v>Lido, RT.003/RW.001, Kel. Lido, Kec. Belo</v>
          </cell>
          <cell r="F709" t="str">
            <v>Bima</v>
          </cell>
          <cell r="G709" t="str">
            <v>5206041701000001</v>
          </cell>
          <cell r="H709" t="str">
            <v>000000000000000</v>
          </cell>
          <cell r="J709">
            <v>0</v>
          </cell>
          <cell r="K709">
            <v>0</v>
          </cell>
          <cell r="L709">
            <v>0</v>
          </cell>
        </row>
        <row r="710">
          <cell r="B710" t="str">
            <v>LANGK06AC</v>
          </cell>
          <cell r="C710" t="str">
            <v>Langkah Pasti</v>
          </cell>
          <cell r="D710" t="str">
            <v>Wahidah</v>
          </cell>
          <cell r="E710" t="str">
            <v>Lido, RT.003/RW.001, Kel. Lido, Kec. Belo</v>
          </cell>
          <cell r="F710" t="str">
            <v>Bima</v>
          </cell>
          <cell r="G710" t="str">
            <v>5206045212880003</v>
          </cell>
          <cell r="H710" t="str">
            <v>000000000000000</v>
          </cell>
          <cell r="J710">
            <v>0</v>
          </cell>
          <cell r="K710">
            <v>0</v>
          </cell>
          <cell r="L710">
            <v>0</v>
          </cell>
        </row>
        <row r="711">
          <cell r="B711" t="str">
            <v>LANGK07AC</v>
          </cell>
          <cell r="C711" t="str">
            <v>Langkah Pasti</v>
          </cell>
          <cell r="D711" t="str">
            <v>Erni Wati</v>
          </cell>
          <cell r="E711" t="str">
            <v>Lido, RT.003/RW.001, Kel. Lido, Kec. Belo</v>
          </cell>
          <cell r="F711" t="str">
            <v>Bima</v>
          </cell>
          <cell r="G711" t="str">
            <v>5206044404920002</v>
          </cell>
          <cell r="H711" t="str">
            <v>000000000000000</v>
          </cell>
          <cell r="J711">
            <v>0</v>
          </cell>
          <cell r="K711">
            <v>0</v>
          </cell>
          <cell r="L711">
            <v>0</v>
          </cell>
        </row>
        <row r="712">
          <cell r="B712" t="str">
            <v>LANGK08AC</v>
          </cell>
          <cell r="C712" t="str">
            <v>Langkah Pasti</v>
          </cell>
          <cell r="D712" t="str">
            <v>Azhar</v>
          </cell>
          <cell r="E712" t="str">
            <v>Lido, RT.002/RW.001, Kel. Lido, Kec. Belo</v>
          </cell>
          <cell r="F712" t="str">
            <v>Bima</v>
          </cell>
          <cell r="G712" t="str">
            <v>5206040206860001</v>
          </cell>
          <cell r="H712" t="str">
            <v>000000000000000</v>
          </cell>
          <cell r="J712">
            <v>0</v>
          </cell>
          <cell r="K712">
            <v>0</v>
          </cell>
          <cell r="L712">
            <v>0</v>
          </cell>
        </row>
        <row r="713">
          <cell r="B713" t="str">
            <v>LANGK09AC</v>
          </cell>
          <cell r="C713" t="str">
            <v>Langkah Pasti</v>
          </cell>
          <cell r="D713" t="str">
            <v>Salam</v>
          </cell>
          <cell r="E713" t="str">
            <v>Lido, RT.002/RW.001, Kel. Lido, Kec. Belo</v>
          </cell>
          <cell r="F713" t="str">
            <v>Bima</v>
          </cell>
          <cell r="G713" t="str">
            <v>52060420020051</v>
          </cell>
          <cell r="H713" t="str">
            <v>000000000000000</v>
          </cell>
          <cell r="I713" t="str">
            <v>NIK 14 angka</v>
          </cell>
          <cell r="J713">
            <v>0</v>
          </cell>
          <cell r="K713">
            <v>0</v>
          </cell>
          <cell r="L713">
            <v>0</v>
          </cell>
        </row>
        <row r="714">
          <cell r="B714" t="str">
            <v>MATO10AC</v>
          </cell>
          <cell r="C714" t="str">
            <v>Madya Tani/Halimatus</v>
          </cell>
          <cell r="D714" t="str">
            <v>Suyadi</v>
          </cell>
          <cell r="E714" t="str">
            <v>Dusun Pontang Tengah, Kel. Pontang, Kec. Ambulu</v>
          </cell>
          <cell r="F714" t="str">
            <v>Jember</v>
          </cell>
          <cell r="G714" t="str">
            <v>3509122102670001</v>
          </cell>
          <cell r="H714" t="str">
            <v>000000000000000</v>
          </cell>
          <cell r="I714" t="str">
            <v>Madya Tani/Halimatus anaknya pak matori</v>
          </cell>
          <cell r="J714">
            <v>15560000</v>
          </cell>
          <cell r="K714">
            <v>0</v>
          </cell>
          <cell r="L714">
            <v>15560000</v>
          </cell>
        </row>
        <row r="715">
          <cell r="B715" t="str">
            <v>MATO13AC</v>
          </cell>
          <cell r="C715" t="str">
            <v>Madya Tani/Halimatus</v>
          </cell>
          <cell r="D715" t="str">
            <v>Kasiami</v>
          </cell>
          <cell r="E715" t="str">
            <v>Dusun Pontang Utara, RT.055/RW.014, Kel. Pontang, Kec. Ambulu</v>
          </cell>
          <cell r="F715" t="str">
            <v>Jember</v>
          </cell>
          <cell r="G715" t="str">
            <v>3509124107640115</v>
          </cell>
          <cell r="H715" t="str">
            <v>000000000000000</v>
          </cell>
          <cell r="J715">
            <v>11000000</v>
          </cell>
          <cell r="K715">
            <v>0</v>
          </cell>
          <cell r="L715">
            <v>11000000</v>
          </cell>
        </row>
        <row r="716">
          <cell r="B716" t="str">
            <v>MATO14AC</v>
          </cell>
          <cell r="C716" t="str">
            <v>Madya Tani/Halimatus</v>
          </cell>
          <cell r="D716" t="str">
            <v>Moh. Suwito</v>
          </cell>
          <cell r="E716" t="str">
            <v>Dusun Utara, RT.065/RW.017, Kel. Pontang, Kec. Ambulu</v>
          </cell>
          <cell r="F716" t="str">
            <v>Jember</v>
          </cell>
          <cell r="G716" t="str">
            <v>3509121904780001</v>
          </cell>
          <cell r="H716" t="str">
            <v>000000000000000</v>
          </cell>
          <cell r="J716">
            <v>0</v>
          </cell>
          <cell r="K716">
            <v>0</v>
          </cell>
          <cell r="L716">
            <v>0</v>
          </cell>
        </row>
        <row r="717">
          <cell r="B717" t="str">
            <v>MAUL01AC</v>
          </cell>
          <cell r="C717" t="str">
            <v>Maulana Ansori</v>
          </cell>
          <cell r="D717" t="str">
            <v>Muhammad Alfaruq</v>
          </cell>
          <cell r="E717" t="str">
            <v>Tanjung Batu Harapan GG Sejati, RT.006/RW.001, Kel. Sedau, Kec. Singkawang Selatan</v>
          </cell>
          <cell r="F717" t="str">
            <v>Singkawang</v>
          </cell>
          <cell r="G717" t="str">
            <v>6172051101010001</v>
          </cell>
          <cell r="H717" t="str">
            <v>000000000000000</v>
          </cell>
          <cell r="J717">
            <v>0</v>
          </cell>
          <cell r="K717">
            <v>0</v>
          </cell>
          <cell r="L717">
            <v>0</v>
          </cell>
        </row>
        <row r="718">
          <cell r="B718" t="str">
            <v>MAUL02AC</v>
          </cell>
          <cell r="C718" t="str">
            <v>Maulana Ansori</v>
          </cell>
          <cell r="D718" t="str">
            <v>Dera</v>
          </cell>
          <cell r="E718" t="str">
            <v>Dusun Gunung Hijau, RT.015/RW.008, Kel. Selakau Tua, Kec. Selakau Timur</v>
          </cell>
          <cell r="F718" t="str">
            <v>Sambas</v>
          </cell>
          <cell r="G718" t="str">
            <v>6101194301040002</v>
          </cell>
          <cell r="H718" t="str">
            <v>000000000000000</v>
          </cell>
          <cell r="J718">
            <v>0</v>
          </cell>
          <cell r="K718">
            <v>0</v>
          </cell>
          <cell r="L718">
            <v>0</v>
          </cell>
        </row>
        <row r="719">
          <cell r="B719" t="str">
            <v>MAUL03AC</v>
          </cell>
          <cell r="C719" t="str">
            <v>Maulana Ansori</v>
          </cell>
          <cell r="D719" t="str">
            <v>Hardi</v>
          </cell>
          <cell r="E719" t="str">
            <v>Dusun Sejahtera, RT.002/RW.001, Kel. Gayung Bersambut, Kec. Selakau</v>
          </cell>
          <cell r="F719" t="str">
            <v>Sambas</v>
          </cell>
          <cell r="G719" t="str">
            <v>6101071710030005</v>
          </cell>
          <cell r="H719" t="str">
            <v>000000000000000</v>
          </cell>
          <cell r="J719">
            <v>0</v>
          </cell>
          <cell r="K719">
            <v>0</v>
          </cell>
          <cell r="L719">
            <v>0</v>
          </cell>
        </row>
        <row r="720">
          <cell r="B720" t="str">
            <v>MAUL04AC</v>
          </cell>
          <cell r="C720" t="str">
            <v>Maulana Ansori</v>
          </cell>
          <cell r="D720" t="str">
            <v>dikirim lg tp sama lg</v>
          </cell>
          <cell r="J720">
            <v>0</v>
          </cell>
          <cell r="K720">
            <v>0</v>
          </cell>
          <cell r="L720">
            <v>0</v>
          </cell>
        </row>
        <row r="721">
          <cell r="B721" t="str">
            <v>MERD03AC</v>
          </cell>
          <cell r="C721" t="str">
            <v>Merdeka Tani/Sugiono</v>
          </cell>
          <cell r="D721" t="str">
            <v>Samiran</v>
          </cell>
          <cell r="E721" t="str">
            <v>Dsn. Gumuk Limo, RT.015/RW.015, Kel. Nogosari, Kec. Rambipuji</v>
          </cell>
          <cell r="F721" t="str">
            <v>Jember</v>
          </cell>
          <cell r="G721" t="str">
            <v>3509130107500443</v>
          </cell>
          <cell r="H721" t="str">
            <v>000000000000000</v>
          </cell>
          <cell r="J721">
            <v>185463999.99981982</v>
          </cell>
          <cell r="K721">
            <v>0</v>
          </cell>
          <cell r="L721">
            <v>185463999.99981982</v>
          </cell>
        </row>
        <row r="722">
          <cell r="B722" t="str">
            <v>MERD05AC</v>
          </cell>
          <cell r="C722" t="str">
            <v>Merdeka Tani/Sugiono</v>
          </cell>
          <cell r="D722" t="str">
            <v>Sukarman</v>
          </cell>
          <cell r="E722" t="str">
            <v>Dsn. Gumuk Limo, RT.015/RW.015, Kel. Nogosari, Kec. Rambipuji</v>
          </cell>
          <cell r="F722" t="str">
            <v>Jember</v>
          </cell>
          <cell r="G722" t="str">
            <v>3509132709600002</v>
          </cell>
          <cell r="H722" t="str">
            <v>000000000000000</v>
          </cell>
          <cell r="J722">
            <v>193419999.99936071</v>
          </cell>
          <cell r="K722">
            <v>0</v>
          </cell>
          <cell r="L722">
            <v>193419999.99936071</v>
          </cell>
        </row>
        <row r="723">
          <cell r="B723" t="str">
            <v>MERD06AC</v>
          </cell>
          <cell r="C723" t="str">
            <v>Merdeka Tani/Sugiono</v>
          </cell>
          <cell r="D723" t="str">
            <v>Imam Mujayyin</v>
          </cell>
          <cell r="E723" t="str">
            <v>Dsn. Gumuk Limo, RT.003/RW.014, Kel. Nogosari, Kec. Rambipuji</v>
          </cell>
          <cell r="F723" t="str">
            <v>Jember</v>
          </cell>
          <cell r="G723" t="str">
            <v>3509131009890003</v>
          </cell>
          <cell r="H723" t="str">
            <v>000000000000000</v>
          </cell>
          <cell r="J723">
            <v>244297599.9976078</v>
          </cell>
          <cell r="K723">
            <v>16560000</v>
          </cell>
          <cell r="L723">
            <v>260857599.9976078</v>
          </cell>
        </row>
        <row r="724">
          <cell r="B724" t="str">
            <v>MERD07AC</v>
          </cell>
          <cell r="C724" t="str">
            <v>Merdeka Tani/Sugiono</v>
          </cell>
          <cell r="D724" t="str">
            <v>Kariman</v>
          </cell>
          <cell r="E724" t="str">
            <v>Dsn. Sumberejo, RT.036/RW.012, Kel. Glundengan, Kec. Wuluhan</v>
          </cell>
          <cell r="F724" t="str">
            <v>Jember</v>
          </cell>
          <cell r="G724" t="str">
            <v>3509111012820005</v>
          </cell>
          <cell r="H724" t="str">
            <v>000000000000000</v>
          </cell>
          <cell r="J724">
            <v>237771199.99911219</v>
          </cell>
          <cell r="K724">
            <v>16560000</v>
          </cell>
          <cell r="L724">
            <v>254331199.99911219</v>
          </cell>
        </row>
        <row r="725">
          <cell r="B725" t="str">
            <v>MERD08AC</v>
          </cell>
          <cell r="C725" t="str">
            <v>Merdeka Tani/Sugiono</v>
          </cell>
          <cell r="D725" t="str">
            <v>Slamet H</v>
          </cell>
          <cell r="E725" t="str">
            <v>Dusun Gumuklimo, RT.007/RW.014, Kel. Nogosari, Kec. Rambipuji</v>
          </cell>
          <cell r="F725" t="str">
            <v>Jember</v>
          </cell>
          <cell r="G725" t="str">
            <v>3509130107700006</v>
          </cell>
          <cell r="H725" t="str">
            <v>000000000000000</v>
          </cell>
          <cell r="J725">
            <v>196199039.99947464</v>
          </cell>
          <cell r="K725">
            <v>17250000</v>
          </cell>
          <cell r="L725">
            <v>213449039.99947464</v>
          </cell>
        </row>
        <row r="726">
          <cell r="B726" t="str">
            <v>MERD10AC</v>
          </cell>
          <cell r="C726" t="str">
            <v>Merdeka Tani/Sugiono</v>
          </cell>
          <cell r="D726" t="str">
            <v>Sholihin</v>
          </cell>
          <cell r="E726" t="str">
            <v>Dusun Sumberjo, RT.036/RW.012, Kel. Glundengan, Kec. Wuluhan</v>
          </cell>
          <cell r="F726" t="str">
            <v>Jember</v>
          </cell>
          <cell r="G726" t="str">
            <v>3509112512690002</v>
          </cell>
          <cell r="H726" t="str">
            <v>000000000000000</v>
          </cell>
          <cell r="J726">
            <v>209502399.99875301</v>
          </cell>
          <cell r="K726">
            <v>17250000</v>
          </cell>
          <cell r="L726">
            <v>226752399.99875301</v>
          </cell>
        </row>
        <row r="727">
          <cell r="B727" t="str">
            <v>MERD11AC</v>
          </cell>
          <cell r="C727" t="str">
            <v>Merdeka Tani/Sugiono</v>
          </cell>
          <cell r="D727" t="str">
            <v>Niton</v>
          </cell>
          <cell r="E727" t="str">
            <v>Gumuk Bago, RT.013/RW.003, Kel. Nogosari, Kec. Rambipuji</v>
          </cell>
          <cell r="F727" t="str">
            <v>Jember</v>
          </cell>
          <cell r="G727" t="str">
            <v>3509130107400087</v>
          </cell>
          <cell r="H727" t="str">
            <v>000000000000000</v>
          </cell>
          <cell r="J727">
            <v>211853439.99697024</v>
          </cell>
          <cell r="K727">
            <v>0</v>
          </cell>
          <cell r="L727">
            <v>211853439.99697024</v>
          </cell>
        </row>
        <row r="728">
          <cell r="B728" t="str">
            <v>MERD13AC</v>
          </cell>
          <cell r="C728" t="str">
            <v>Merdeka Tani/Sugiono</v>
          </cell>
          <cell r="D728" t="str">
            <v>Asan</v>
          </cell>
          <cell r="E728" t="str">
            <v>Dusun Gumuk Limo, RT.015/RW.015, Kel. Nogosari, Kec. Rambipuji</v>
          </cell>
          <cell r="F728" t="str">
            <v>Jember</v>
          </cell>
          <cell r="G728" t="str">
            <v>3509131108700002</v>
          </cell>
          <cell r="H728" t="str">
            <v>000000000000000</v>
          </cell>
          <cell r="J728">
            <v>215375999.99984848</v>
          </cell>
          <cell r="K728">
            <v>0</v>
          </cell>
          <cell r="L728">
            <v>215375999.99984848</v>
          </cell>
        </row>
        <row r="729">
          <cell r="B729" t="str">
            <v>MERD14AC</v>
          </cell>
          <cell r="C729" t="str">
            <v>Merdeka Tani/Sugiono</v>
          </cell>
          <cell r="D729" t="str">
            <v>Sehafur Romeli</v>
          </cell>
          <cell r="E729" t="str">
            <v>Dusun Rejosari, RT.002/RW.011, Kel. Gumukmelar, Kec. Balung</v>
          </cell>
          <cell r="F729" t="str">
            <v>Jember</v>
          </cell>
          <cell r="G729" t="str">
            <v>3509100701700003</v>
          </cell>
          <cell r="H729" t="str">
            <v>000000000000000</v>
          </cell>
          <cell r="J729">
            <v>180967999.9996928</v>
          </cell>
          <cell r="K729">
            <v>0</v>
          </cell>
          <cell r="L729">
            <v>180967999.9996928</v>
          </cell>
        </row>
        <row r="730">
          <cell r="B730" t="str">
            <v>MERD15AC</v>
          </cell>
          <cell r="C730" t="str">
            <v>Merdeka Tani/Sugiono</v>
          </cell>
          <cell r="D730" t="str">
            <v>Suyanto</v>
          </cell>
          <cell r="E730" t="str">
            <v>Dusun Gumuk Limo, RT.015/RW.015, Kel. Nogosari, Kec. Rambipuji</v>
          </cell>
          <cell r="F730" t="str">
            <v>Jember</v>
          </cell>
          <cell r="G730" t="str">
            <v>3509130407750006</v>
          </cell>
          <cell r="H730" t="str">
            <v>000000000000000</v>
          </cell>
          <cell r="J730">
            <v>222995999.99954599</v>
          </cell>
          <cell r="K730">
            <v>13800000</v>
          </cell>
          <cell r="L730">
            <v>236795999.99954599</v>
          </cell>
        </row>
        <row r="731">
          <cell r="B731" t="str">
            <v>MERD16AC</v>
          </cell>
          <cell r="C731" t="str">
            <v>Merdeka Tani/Sugiono</v>
          </cell>
          <cell r="D731" t="str">
            <v>Suyono</v>
          </cell>
          <cell r="E731" t="str">
            <v>Dusun Gumuk Limo, RT.014/RW.015, Kel. Nogosari, Kec. Rambipuji</v>
          </cell>
          <cell r="F731" t="str">
            <v>Jember</v>
          </cell>
          <cell r="G731" t="str">
            <v>3509131204800003</v>
          </cell>
          <cell r="H731" t="str">
            <v>000000000000000</v>
          </cell>
          <cell r="J731">
            <v>231793999.99954718</v>
          </cell>
          <cell r="K731">
            <v>20700000</v>
          </cell>
          <cell r="L731">
            <v>252493999.99954718</v>
          </cell>
        </row>
        <row r="732">
          <cell r="B732" t="str">
            <v>MERD17AC</v>
          </cell>
          <cell r="C732" t="str">
            <v>Merdeka Tani/Sugiono</v>
          </cell>
          <cell r="D732" t="str">
            <v>Siti Muhayyanah</v>
          </cell>
          <cell r="E732" t="str">
            <v>Dusun Gumuk Limo, RT.015/RW.015, Kel. Nogosari, Kec. Rambipuji</v>
          </cell>
          <cell r="F732" t="str">
            <v>Jember</v>
          </cell>
          <cell r="G732" t="str">
            <v>3509134107850302</v>
          </cell>
          <cell r="H732" t="str">
            <v>000000000000000</v>
          </cell>
          <cell r="J732">
            <v>176563999.999717</v>
          </cell>
          <cell r="K732">
            <v>0</v>
          </cell>
          <cell r="L732">
            <v>176563999.999717</v>
          </cell>
        </row>
        <row r="733">
          <cell r="B733" t="str">
            <v>MERD18AC</v>
          </cell>
          <cell r="C733" t="str">
            <v>Merdeka Tani/Sugiono</v>
          </cell>
          <cell r="D733" t="str">
            <v>Aziz</v>
          </cell>
          <cell r="E733" t="str">
            <v>Dusun Gumuk Bago, RT.010/RW.007, Kel. Nogosari, Kec. Rambipuji</v>
          </cell>
          <cell r="F733" t="str">
            <v>Jember</v>
          </cell>
          <cell r="G733" t="str">
            <v>3509131407720003</v>
          </cell>
          <cell r="H733" t="str">
            <v>000000000000000</v>
          </cell>
          <cell r="J733">
            <v>218097599.99953699</v>
          </cell>
          <cell r="K733">
            <v>18500000</v>
          </cell>
          <cell r="L733">
            <v>236597599.99953699</v>
          </cell>
        </row>
        <row r="734">
          <cell r="B734" t="str">
            <v>MERD19AC</v>
          </cell>
          <cell r="C734" t="str">
            <v>Merdeka Tani/Sugiono</v>
          </cell>
          <cell r="D734" t="str">
            <v>Muhammad Nuril Muzakki</v>
          </cell>
          <cell r="E734" t="str">
            <v>Dusun Gumuk Limo, RT.002/RW.014, Kel. Nogosari, Kec. Rambipuji</v>
          </cell>
          <cell r="F734" t="str">
            <v>Jember</v>
          </cell>
          <cell r="G734" t="str">
            <v>3509132310850002</v>
          </cell>
          <cell r="H734" t="str">
            <v>000000000000000</v>
          </cell>
          <cell r="J734">
            <v>221623999.99654001</v>
          </cell>
          <cell r="K734">
            <v>18500000</v>
          </cell>
          <cell r="L734">
            <v>240123999.99654001</v>
          </cell>
        </row>
        <row r="735">
          <cell r="B735" t="str">
            <v>MERD20AC</v>
          </cell>
          <cell r="C735" t="str">
            <v>Merdeka Tani/Sugiono</v>
          </cell>
          <cell r="D735" t="str">
            <v>Juma'ah</v>
          </cell>
          <cell r="E735" t="str">
            <v>Dusun Gumuk Sari, RT.025/RW.013, Kel. Nogosari, Kec. Rambipuji</v>
          </cell>
          <cell r="F735" t="str">
            <v>Jember</v>
          </cell>
          <cell r="G735" t="str">
            <v>3509130107610174</v>
          </cell>
          <cell r="H735" t="str">
            <v>000000000000000</v>
          </cell>
          <cell r="J735">
            <v>205939999.99964181</v>
          </cell>
          <cell r="K735">
            <v>18500000</v>
          </cell>
          <cell r="L735">
            <v>224439999.99964181</v>
          </cell>
        </row>
        <row r="736">
          <cell r="B736" t="str">
            <v>MERD22AC</v>
          </cell>
          <cell r="C736" t="str">
            <v>Merdeka Tani/Sugiono</v>
          </cell>
          <cell r="D736" t="str">
            <v>Ahmad Amin</v>
          </cell>
          <cell r="E736" t="str">
            <v>Dusun Gumuk Limo, RT.003/RW.014, Kel. Nogosari, Kec. Rambipuji</v>
          </cell>
          <cell r="F736" t="str">
            <v>Jember</v>
          </cell>
          <cell r="G736" t="str">
            <v>3509130107570228</v>
          </cell>
          <cell r="H736" t="str">
            <v>000000000000000</v>
          </cell>
          <cell r="J736">
            <v>238138799.99810591</v>
          </cell>
          <cell r="K736">
            <v>18500000</v>
          </cell>
          <cell r="L736">
            <v>256638799.99810591</v>
          </cell>
        </row>
        <row r="737">
          <cell r="B737" t="str">
            <v>MERD23AC</v>
          </cell>
          <cell r="C737" t="str">
            <v>Merdeka Tani/Sugiono</v>
          </cell>
          <cell r="D737" t="str">
            <v>Saman</v>
          </cell>
          <cell r="E737" t="str">
            <v>Dusun Gumuk Limo, RT.006/RW.014, Kel. Nogosari, Kec. Rambipuji</v>
          </cell>
          <cell r="F737" t="str">
            <v>Jember</v>
          </cell>
          <cell r="G737" t="str">
            <v>3509131312410001</v>
          </cell>
          <cell r="H737" t="str">
            <v>000000000000000</v>
          </cell>
          <cell r="J737">
            <v>209777599.99846041</v>
          </cell>
          <cell r="K737">
            <v>0</v>
          </cell>
          <cell r="L737">
            <v>209777599.99846041</v>
          </cell>
        </row>
        <row r="738">
          <cell r="B738" t="str">
            <v>MERD24AC</v>
          </cell>
          <cell r="C738" t="str">
            <v>Merdeka Tani/Sugiono</v>
          </cell>
          <cell r="D738" t="str">
            <v>Slamet</v>
          </cell>
          <cell r="E738" t="str">
            <v>Dusun Gumuk Limo, RT.014/RW.015, Kel. Nogosari, Kec. Rambipuji</v>
          </cell>
          <cell r="F738" t="str">
            <v>Jember</v>
          </cell>
          <cell r="G738" t="str">
            <v>3509132303700003</v>
          </cell>
          <cell r="H738" t="str">
            <v>000000000000000</v>
          </cell>
          <cell r="J738">
            <v>204737999.99968401</v>
          </cell>
          <cell r="K738">
            <v>23460000</v>
          </cell>
          <cell r="L738">
            <v>228197999.99968401</v>
          </cell>
        </row>
        <row r="739">
          <cell r="B739" t="str">
            <v>MERD25AC</v>
          </cell>
          <cell r="C739" t="str">
            <v>Merdeka Tani/Sugiono</v>
          </cell>
          <cell r="D739" t="str">
            <v>Moch. Saleh</v>
          </cell>
          <cell r="E739" t="str">
            <v>Dusun Gumuk Limo, RT.014/RW.015, Kel. Nogosari, Kec. Rambipuji</v>
          </cell>
          <cell r="F739" t="str">
            <v>Jember</v>
          </cell>
          <cell r="G739" t="str">
            <v>3509131811620002</v>
          </cell>
          <cell r="H739" t="str">
            <v>000000000000000</v>
          </cell>
          <cell r="J739">
            <v>192005599.99898627</v>
          </cell>
          <cell r="K739">
            <v>23460000</v>
          </cell>
          <cell r="L739">
            <v>215465599.99898627</v>
          </cell>
        </row>
        <row r="740">
          <cell r="B740" t="str">
            <v>MERD27AC</v>
          </cell>
          <cell r="C740" t="str">
            <v>Merdeka Tani/Sugiono</v>
          </cell>
          <cell r="D740" t="str">
            <v>Ahmad Zaeni</v>
          </cell>
          <cell r="E740" t="str">
            <v>Dusun Gumuk Limo, RT.017/RW.017, Kel. Nogosari, Kec. Rambipuji</v>
          </cell>
          <cell r="F740" t="str">
            <v>Jember</v>
          </cell>
          <cell r="G740" t="str">
            <v>3509130407700005</v>
          </cell>
          <cell r="H740" t="str">
            <v>000000000000000</v>
          </cell>
          <cell r="J740">
            <v>211244399.99955994</v>
          </cell>
          <cell r="K740">
            <v>23460000</v>
          </cell>
          <cell r="L740">
            <v>234704399.99955994</v>
          </cell>
        </row>
        <row r="741">
          <cell r="B741" t="str">
            <v>MERD28AC</v>
          </cell>
          <cell r="C741" t="str">
            <v>Merdeka Tani/Sugiono</v>
          </cell>
          <cell r="D741" t="str">
            <v>Salama</v>
          </cell>
          <cell r="E741" t="str">
            <v>Dusun Gumuk Sari, RT.025/RW.013, Kel. Nogosari, Kec. Rambipuji</v>
          </cell>
          <cell r="F741" t="str">
            <v>Jember</v>
          </cell>
          <cell r="G741" t="str">
            <v>3509134107790231</v>
          </cell>
          <cell r="H741" t="str">
            <v>000000000000000</v>
          </cell>
          <cell r="J741">
            <v>207333999.999778</v>
          </cell>
          <cell r="K741">
            <v>18500000</v>
          </cell>
          <cell r="L741">
            <v>225833999.999778</v>
          </cell>
        </row>
        <row r="742">
          <cell r="B742" t="str">
            <v>MERD29AC</v>
          </cell>
          <cell r="C742" t="str">
            <v>Merdeka Tani/Sugiono</v>
          </cell>
          <cell r="D742" t="str">
            <v>Misnari</v>
          </cell>
          <cell r="E742" t="str">
            <v>Dusun Gumuk Sari, RT.001/RW.009, Kel. Nogosari, Kec. Rambipuji</v>
          </cell>
          <cell r="F742" t="str">
            <v>Jember</v>
          </cell>
          <cell r="G742" t="str">
            <v>3509130107620254</v>
          </cell>
          <cell r="H742" t="str">
            <v>000000000000000</v>
          </cell>
          <cell r="J742">
            <v>227283999.99988911</v>
          </cell>
          <cell r="K742">
            <v>18500000</v>
          </cell>
          <cell r="L742">
            <v>245783999.99988911</v>
          </cell>
        </row>
        <row r="743">
          <cell r="B743" t="str">
            <v>MERD30AC</v>
          </cell>
          <cell r="C743" t="str">
            <v>Merdeka Tani/Sugiono</v>
          </cell>
          <cell r="D743" t="str">
            <v>Abdullah</v>
          </cell>
          <cell r="E743" t="str">
            <v>Dusun Gumuk Limo, RT.014/RW.015, Kel. Nogosari, Kec. Rambipuji</v>
          </cell>
          <cell r="F743" t="str">
            <v>Jember</v>
          </cell>
          <cell r="G743" t="str">
            <v>3509130705690002</v>
          </cell>
          <cell r="H743" t="str">
            <v>000000000000000</v>
          </cell>
          <cell r="J743">
            <v>196051999.9998706</v>
          </cell>
          <cell r="K743">
            <v>18500000</v>
          </cell>
          <cell r="L743">
            <v>214551999.9998706</v>
          </cell>
        </row>
        <row r="744">
          <cell r="B744" t="str">
            <v>MERD31AC</v>
          </cell>
          <cell r="C744" t="str">
            <v>Merdeka Tani/Sugiono</v>
          </cell>
          <cell r="D744" t="str">
            <v>Toasim</v>
          </cell>
          <cell r="E744" t="str">
            <v>Dusun Gumuk Sari, RT.017/RW.012, Kel. Nogosari, Kec. Rambipuji</v>
          </cell>
          <cell r="F744" t="str">
            <v>Jember</v>
          </cell>
          <cell r="G744" t="str">
            <v>3509131510500001</v>
          </cell>
          <cell r="H744" t="str">
            <v>000000000000000</v>
          </cell>
          <cell r="J744">
            <v>168023999.99996626</v>
          </cell>
          <cell r="K744">
            <v>18500000</v>
          </cell>
          <cell r="L744">
            <v>186523999.99996626</v>
          </cell>
        </row>
        <row r="745">
          <cell r="B745" t="str">
            <v>MERD32AC</v>
          </cell>
          <cell r="C745" t="str">
            <v>Merdeka Tani/Sugiono</v>
          </cell>
          <cell r="D745" t="str">
            <v>Birul Walidaeni</v>
          </cell>
          <cell r="E745" t="str">
            <v>Dusun Gumuk Sari, RT.026/RW.013, Kel. Nogosari, Kec. Rambipuji</v>
          </cell>
          <cell r="F745" t="str">
            <v>Jember</v>
          </cell>
          <cell r="G745" t="str">
            <v>3509132506790005</v>
          </cell>
          <cell r="H745" t="str">
            <v>000000000000000</v>
          </cell>
          <cell r="J745">
            <v>206425999.99953198</v>
          </cell>
          <cell r="K745">
            <v>17250000</v>
          </cell>
          <cell r="L745">
            <v>223675999.99953198</v>
          </cell>
        </row>
        <row r="746">
          <cell r="B746" t="str">
            <v>MERD33AC</v>
          </cell>
          <cell r="C746" t="str">
            <v>Merdeka Tani/Sugiono</v>
          </cell>
          <cell r="D746" t="str">
            <v>Misran</v>
          </cell>
          <cell r="E746" t="str">
            <v>Dusun Gumuk Limo, RT.015/RW.015, Kel. Nogosari, Kec. Rambipuji</v>
          </cell>
          <cell r="F746" t="str">
            <v>Jember</v>
          </cell>
          <cell r="G746" t="str">
            <v>3509130107600488</v>
          </cell>
          <cell r="H746" t="str">
            <v>000000000000000</v>
          </cell>
          <cell r="J746">
            <v>172239999.9996244</v>
          </cell>
          <cell r="K746">
            <v>17250000</v>
          </cell>
          <cell r="L746">
            <v>189489999.9996244</v>
          </cell>
        </row>
        <row r="747">
          <cell r="B747" t="str">
            <v>MERD34AC</v>
          </cell>
          <cell r="C747" t="str">
            <v>Merdeka Tani/Sugiono</v>
          </cell>
          <cell r="D747" t="str">
            <v>Siti Rohmah</v>
          </cell>
          <cell r="E747" t="str">
            <v>Dusun Gumuk Limo, RT.010/RW.015, Kel. Nogosari, Kec. Rambipuji</v>
          </cell>
          <cell r="F747" t="str">
            <v>Jember</v>
          </cell>
          <cell r="G747" t="str">
            <v>3509135511720003</v>
          </cell>
          <cell r="H747" t="str">
            <v>000000000000000</v>
          </cell>
          <cell r="J747">
            <v>159119999.99987161</v>
          </cell>
          <cell r="K747">
            <v>17250000</v>
          </cell>
          <cell r="L747">
            <v>176369999.99987161</v>
          </cell>
        </row>
        <row r="748">
          <cell r="B748" t="str">
            <v>MERD35AC</v>
          </cell>
          <cell r="C748" t="str">
            <v>Merdeka Tani/Sugiono</v>
          </cell>
          <cell r="D748" t="str">
            <v>Musaram</v>
          </cell>
          <cell r="E748" t="str">
            <v>Dusun Gumuk Limo, RT.017/RW.017, Kel. Nogosari, Kec. Rambipuji</v>
          </cell>
          <cell r="F748" t="str">
            <v>Jember</v>
          </cell>
          <cell r="G748" t="str">
            <v>3509130708550006</v>
          </cell>
          <cell r="H748" t="str">
            <v>000000000000000</v>
          </cell>
          <cell r="J748">
            <v>150286399.99991</v>
          </cell>
          <cell r="K748">
            <v>17250000</v>
          </cell>
          <cell r="L748">
            <v>167536399.99991</v>
          </cell>
        </row>
        <row r="749">
          <cell r="B749" t="str">
            <v>MERD36AC</v>
          </cell>
          <cell r="C749" t="str">
            <v>Merdeka Tani/Sugiono</v>
          </cell>
          <cell r="D749" t="str">
            <v>Abdurahman</v>
          </cell>
          <cell r="E749" t="str">
            <v>Dusun Gumuk Bago, RT.009/RW.007, Kel. Nogosari, Kec. Rambipuji</v>
          </cell>
          <cell r="F749" t="str">
            <v>Jember</v>
          </cell>
          <cell r="G749" t="str">
            <v>3509131106620001</v>
          </cell>
          <cell r="H749" t="str">
            <v>000000000000000</v>
          </cell>
          <cell r="J749">
            <v>167239999.99985802</v>
          </cell>
          <cell r="K749">
            <v>17250000</v>
          </cell>
          <cell r="L749">
            <v>184489999.99985802</v>
          </cell>
        </row>
        <row r="750">
          <cell r="B750" t="str">
            <v>MERD37AC</v>
          </cell>
          <cell r="C750" t="str">
            <v>Merdeka Tani/Sugiono</v>
          </cell>
          <cell r="D750" t="str">
            <v>Sutila</v>
          </cell>
          <cell r="E750" t="str">
            <v>Dusun Gumuk Limo, RT.005/RW.014, Kel. Nogosari, Kec. Rambipuji</v>
          </cell>
          <cell r="F750" t="str">
            <v>Jember</v>
          </cell>
          <cell r="G750" t="str">
            <v>3509134107800342</v>
          </cell>
          <cell r="H750" t="str">
            <v>000000000000000</v>
          </cell>
          <cell r="J750">
            <v>190327999.99998</v>
          </cell>
          <cell r="K750">
            <v>17250000</v>
          </cell>
          <cell r="L750">
            <v>207577999.99998</v>
          </cell>
        </row>
        <row r="751">
          <cell r="B751" t="str">
            <v>MERD38AC</v>
          </cell>
          <cell r="C751" t="str">
            <v>Merdeka Tani/Sugiono</v>
          </cell>
          <cell r="D751" t="str">
            <v>Ahmad Muhlis</v>
          </cell>
          <cell r="E751" t="str">
            <v>Dusun Gumuk Limo, RT.007/RW.014, Kel. Nogosari, Kec. Rambipuji</v>
          </cell>
          <cell r="F751" t="str">
            <v>Jember</v>
          </cell>
          <cell r="G751" t="str">
            <v>3509131607810003</v>
          </cell>
          <cell r="H751" t="str">
            <v>000000000000000</v>
          </cell>
          <cell r="J751">
            <v>151679999.9999184</v>
          </cell>
          <cell r="K751">
            <v>18500000</v>
          </cell>
          <cell r="L751">
            <v>170179999.9999184</v>
          </cell>
        </row>
        <row r="752">
          <cell r="B752" t="str">
            <v>MERD39AC</v>
          </cell>
          <cell r="C752" t="str">
            <v>Merdeka Tani/Sugiono</v>
          </cell>
          <cell r="D752" t="str">
            <v>Jamilah</v>
          </cell>
          <cell r="E752" t="str">
            <v>Dusun Gumuk Limo, RT.003/RW.016, Kel. Nogosari, Kec. Rambipuji</v>
          </cell>
          <cell r="F752" t="str">
            <v>Jember</v>
          </cell>
          <cell r="G752" t="str">
            <v>3509134503760003</v>
          </cell>
          <cell r="H752" t="str">
            <v>000000000000000</v>
          </cell>
          <cell r="J752">
            <v>179727999.99997601</v>
          </cell>
          <cell r="K752">
            <v>18500000</v>
          </cell>
          <cell r="L752">
            <v>198227999.99997601</v>
          </cell>
        </row>
        <row r="753">
          <cell r="B753" t="str">
            <v>MERD40AC</v>
          </cell>
          <cell r="C753" t="str">
            <v>Merdeka Tani/Sugiono</v>
          </cell>
          <cell r="D753" t="str">
            <v>Sawir</v>
          </cell>
          <cell r="E753" t="str">
            <v>Gumuk Limo, RT.002/RW.005, Kel. Nogosari, Kec. Rambipuji</v>
          </cell>
          <cell r="F753" t="str">
            <v>Jember</v>
          </cell>
          <cell r="G753" t="str">
            <v>3509130107650386</v>
          </cell>
          <cell r="H753" t="str">
            <v>000000000000000</v>
          </cell>
          <cell r="J753">
            <v>166935999.99997601</v>
          </cell>
          <cell r="K753">
            <v>18500000</v>
          </cell>
          <cell r="L753">
            <v>185435999.99997601</v>
          </cell>
        </row>
        <row r="754">
          <cell r="B754" t="str">
            <v>MERD43AC</v>
          </cell>
          <cell r="C754" t="str">
            <v>Merdeka Tani/Sugiono</v>
          </cell>
          <cell r="D754" t="str">
            <v>Muhammad Gufron</v>
          </cell>
          <cell r="E754" t="str">
            <v>Gumuk Limo, RT.002/RW.003, Kel. Nogosari, Kec. Rambipuji</v>
          </cell>
          <cell r="F754" t="str">
            <v>Jember</v>
          </cell>
          <cell r="G754" t="str">
            <v>3509130808970005</v>
          </cell>
          <cell r="H754" t="str">
            <v>000000000000000</v>
          </cell>
          <cell r="J754">
            <v>164211999.99976999</v>
          </cell>
          <cell r="K754">
            <v>18500000</v>
          </cell>
          <cell r="L754">
            <v>182711999.99976999</v>
          </cell>
        </row>
        <row r="755">
          <cell r="B755" t="str">
            <v>MERD44AC</v>
          </cell>
          <cell r="C755" t="str">
            <v>Merdeka Tani/Sugiono</v>
          </cell>
          <cell r="D755" t="str">
            <v>Sholihin</v>
          </cell>
          <cell r="E755" t="str">
            <v>Gumuk Limo, RT.002/RW.005, Kel. Nogosari, Kec. Rambipuji</v>
          </cell>
          <cell r="F755" t="str">
            <v>Jember</v>
          </cell>
          <cell r="G755" t="str">
            <v>3509130107650038</v>
          </cell>
          <cell r="H755" t="str">
            <v>000000000000000</v>
          </cell>
          <cell r="J755">
            <v>150843999.99996573</v>
          </cell>
          <cell r="K755">
            <v>0</v>
          </cell>
          <cell r="L755">
            <v>150843999.99996573</v>
          </cell>
        </row>
        <row r="756">
          <cell r="B756" t="str">
            <v>MERD45AC</v>
          </cell>
          <cell r="C756" t="str">
            <v>Merdeka Tani/Sugiono</v>
          </cell>
          <cell r="D756" t="str">
            <v>Salama</v>
          </cell>
          <cell r="E756" t="str">
            <v>Gumuk Limo, RT.001/RW.004, Kel. Nogosari, Kec. Rambipuji</v>
          </cell>
          <cell r="F756" t="str">
            <v>Jember</v>
          </cell>
          <cell r="G756" t="str">
            <v>3509134704850003</v>
          </cell>
          <cell r="H756" t="str">
            <v>000000000000000</v>
          </cell>
          <cell r="J756">
            <v>152787999.99992141</v>
          </cell>
          <cell r="K756">
            <v>0</v>
          </cell>
          <cell r="L756">
            <v>152787999.99992141</v>
          </cell>
        </row>
        <row r="757">
          <cell r="B757" t="str">
            <v>MERD46AC</v>
          </cell>
          <cell r="C757" t="str">
            <v>Merdeka Tani/Sugiono</v>
          </cell>
          <cell r="D757" t="str">
            <v>Mistina</v>
          </cell>
          <cell r="E757" t="str">
            <v>Gumuk Limo, RT.002/RW.004, Kel. Nogosari, Kec. Rambipuji</v>
          </cell>
          <cell r="F757" t="str">
            <v>Jember</v>
          </cell>
          <cell r="G757" t="str">
            <v>3509135007750001</v>
          </cell>
          <cell r="H757" t="str">
            <v>000000000000000</v>
          </cell>
          <cell r="J757">
            <v>130987999.99999525</v>
          </cell>
          <cell r="K757">
            <v>19000000</v>
          </cell>
          <cell r="L757">
            <v>149987999.99999523</v>
          </cell>
        </row>
        <row r="758">
          <cell r="B758" t="str">
            <v>MERD47AC</v>
          </cell>
          <cell r="C758" t="str">
            <v>Merdeka Tani/Sugiono</v>
          </cell>
          <cell r="D758" t="str">
            <v>Siti</v>
          </cell>
          <cell r="E758" t="str">
            <v>Gumuk Limo, RT.001/RW.003, Kel. Nogosari, Kec. Rambipuji</v>
          </cell>
          <cell r="F758" t="str">
            <v>Jember</v>
          </cell>
          <cell r="G758" t="str">
            <v>3509134309580002</v>
          </cell>
          <cell r="H758" t="str">
            <v>000000000000000</v>
          </cell>
          <cell r="J758">
            <v>133616000</v>
          </cell>
          <cell r="K758">
            <v>19000000</v>
          </cell>
          <cell r="L758">
            <v>152616000</v>
          </cell>
        </row>
        <row r="759">
          <cell r="B759" t="str">
            <v>MERD48AC</v>
          </cell>
          <cell r="C759" t="str">
            <v>Merdeka Tani/Sugiono</v>
          </cell>
          <cell r="D759" t="str">
            <v>Subari</v>
          </cell>
          <cell r="E759" t="str">
            <v>Gumuk Limo, RT.001/RW.001, Kel. Nogosari, Kec. Rambipuji</v>
          </cell>
          <cell r="F759" t="str">
            <v>Jember</v>
          </cell>
          <cell r="G759" t="str">
            <v>3509131910500001</v>
          </cell>
          <cell r="H759" t="str">
            <v>000000000000000</v>
          </cell>
          <cell r="J759">
            <v>141440000</v>
          </cell>
          <cell r="K759">
            <v>19000000</v>
          </cell>
          <cell r="L759">
            <v>160440000</v>
          </cell>
        </row>
        <row r="760">
          <cell r="B760" t="str">
            <v>MERD49AC</v>
          </cell>
          <cell r="C760" t="str">
            <v>Merdeka Tani/Sugiono</v>
          </cell>
          <cell r="D760" t="str">
            <v>Ida Farida</v>
          </cell>
          <cell r="E760" t="str">
            <v>Gumuk Limo, RT.003/RW.001, Kel. Nogosari, Kec. Rambipuji</v>
          </cell>
          <cell r="F760" t="str">
            <v>Jember</v>
          </cell>
          <cell r="G760" t="str">
            <v>3509135808800001</v>
          </cell>
          <cell r="H760" t="str">
            <v>000000000000000</v>
          </cell>
          <cell r="J760">
            <v>140653999.99948001</v>
          </cell>
          <cell r="K760">
            <v>19000000</v>
          </cell>
          <cell r="L760">
            <v>159653999.99948001</v>
          </cell>
        </row>
        <row r="761">
          <cell r="B761" t="str">
            <v>MERD51AC</v>
          </cell>
          <cell r="C761" t="str">
            <v>Merdeka Tani/Sugiono</v>
          </cell>
          <cell r="D761" t="str">
            <v>Buyani</v>
          </cell>
          <cell r="E761" t="str">
            <v>Gumuk Limo, RT.001/RW.003, Kel. Nogosari, Kec. Rambipuji</v>
          </cell>
          <cell r="F761" t="str">
            <v>Jember</v>
          </cell>
          <cell r="G761" t="str">
            <v>3509115201730008</v>
          </cell>
          <cell r="H761" t="str">
            <v>000000000000000</v>
          </cell>
          <cell r="J761">
            <v>143359999.99926201</v>
          </cell>
          <cell r="K761">
            <v>19000000</v>
          </cell>
          <cell r="L761">
            <v>162359999.99926201</v>
          </cell>
        </row>
        <row r="762">
          <cell r="B762" t="str">
            <v>MERD52AC</v>
          </cell>
          <cell r="C762" t="str">
            <v>Merdeka Tani/Sugiono</v>
          </cell>
          <cell r="D762" t="str">
            <v>Asdim</v>
          </cell>
          <cell r="E762" t="str">
            <v>Dusun Sumberjo, RT.036/RW.012, Kel. Glundengan, Kec. Wuluhan</v>
          </cell>
          <cell r="F762" t="str">
            <v>Jember</v>
          </cell>
          <cell r="G762" t="str">
            <v>3509110106550007</v>
          </cell>
          <cell r="H762" t="str">
            <v>000000000000000</v>
          </cell>
          <cell r="J762">
            <v>156279999.99962628</v>
          </cell>
          <cell r="K762">
            <v>19000000</v>
          </cell>
          <cell r="L762">
            <v>175279999.99962628</v>
          </cell>
        </row>
        <row r="763">
          <cell r="B763" t="str">
            <v>MERD53AC</v>
          </cell>
          <cell r="C763" t="str">
            <v>Merdeka Tani/Sugiono</v>
          </cell>
          <cell r="D763" t="str">
            <v>Nur Rohim</v>
          </cell>
          <cell r="E763" t="str">
            <v>Gumuk Limo, RT.001/RW.001, Kel. Nogosari, Kec. Rambipuji</v>
          </cell>
          <cell r="F763" t="str">
            <v>Jember</v>
          </cell>
          <cell r="G763" t="str">
            <v>3509100202820003</v>
          </cell>
          <cell r="H763" t="str">
            <v>000000000000000</v>
          </cell>
          <cell r="J763">
            <v>193247999.99976709</v>
          </cell>
          <cell r="K763">
            <v>19000000</v>
          </cell>
          <cell r="L763">
            <v>212247999.99976709</v>
          </cell>
        </row>
        <row r="764">
          <cell r="B764" t="str">
            <v>MERD54AC</v>
          </cell>
          <cell r="C764" t="str">
            <v>Merdeka Tani/Sugiono</v>
          </cell>
          <cell r="D764" t="str">
            <v>Bambang Hermawan</v>
          </cell>
          <cell r="E764" t="str">
            <v>Dusun Rejosari, RT.004/RW.012, Kel.Gumelar, Kec. Balung</v>
          </cell>
          <cell r="F764" t="str">
            <v>Jember</v>
          </cell>
          <cell r="G764" t="str">
            <v>3509101609740003</v>
          </cell>
          <cell r="H764" t="str">
            <v>000000000000000</v>
          </cell>
          <cell r="J764">
            <v>167231999.9998976</v>
          </cell>
          <cell r="K764">
            <v>19000000</v>
          </cell>
          <cell r="L764">
            <v>186231999.9998976</v>
          </cell>
        </row>
        <row r="765">
          <cell r="B765" t="str">
            <v>MERD55AC</v>
          </cell>
          <cell r="C765" t="str">
            <v>Merdeka Tani/Sugiono</v>
          </cell>
          <cell r="D765" t="str">
            <v>Siti Aisyah</v>
          </cell>
          <cell r="E765" t="str">
            <v>Dusun Gumuk Limo, RT.007/RW.014, Kel. Nogosari, Kec. Rambipuji</v>
          </cell>
          <cell r="F765" t="str">
            <v>Jember</v>
          </cell>
          <cell r="G765" t="str">
            <v>3509136808820005</v>
          </cell>
          <cell r="H765" t="str">
            <v>000000000000000</v>
          </cell>
          <cell r="J765">
            <v>192079999.99954596</v>
          </cell>
          <cell r="K765">
            <v>0</v>
          </cell>
          <cell r="L765">
            <v>192079999.99954596</v>
          </cell>
        </row>
        <row r="766">
          <cell r="B766" t="str">
            <v>MERD57AC</v>
          </cell>
          <cell r="C766" t="str">
            <v>Merdeka Tani/Sugiono</v>
          </cell>
          <cell r="D766" t="str">
            <v>Sari</v>
          </cell>
          <cell r="E766" t="str">
            <v>Dusun Sumberjo, RT.036/RW.012, Kel. Glundengan, Kec. Wuluhan</v>
          </cell>
          <cell r="F766" t="str">
            <v>Jember</v>
          </cell>
          <cell r="G766" t="str">
            <v>3509114107650815</v>
          </cell>
          <cell r="H766" t="str">
            <v>000000000000000</v>
          </cell>
          <cell r="J766">
            <v>167887999.99953067</v>
          </cell>
          <cell r="K766">
            <v>17250000</v>
          </cell>
          <cell r="L766">
            <v>185137999.99953067</v>
          </cell>
        </row>
        <row r="767">
          <cell r="B767" t="str">
            <v>MERD58AC</v>
          </cell>
          <cell r="C767" t="str">
            <v>Merdeka Tani/Sugiono</v>
          </cell>
          <cell r="D767" t="str">
            <v>Arnima</v>
          </cell>
          <cell r="E767" t="str">
            <v>Dusun Gumuk Limo, RT.016/RW.015, Kel. Nogosari, Kec. Rambipuji</v>
          </cell>
          <cell r="F767" t="str">
            <v>Jember</v>
          </cell>
          <cell r="G767" t="str">
            <v>3509134105620002</v>
          </cell>
          <cell r="H767" t="str">
            <v>000000000000000</v>
          </cell>
          <cell r="J767">
            <v>149987199.99955839</v>
          </cell>
          <cell r="K767">
            <v>17250000</v>
          </cell>
          <cell r="L767">
            <v>167237199.99955839</v>
          </cell>
        </row>
        <row r="768">
          <cell r="B768" t="str">
            <v>MERD59AC</v>
          </cell>
          <cell r="C768" t="str">
            <v>Merdeka Tani/Sugiono</v>
          </cell>
          <cell r="D768" t="str">
            <v>Muhammad Nasir</v>
          </cell>
          <cell r="E768" t="str">
            <v>Dusun Sumberjo, RT.036/RW.012, Kel. Glundengan, Kec. Wuluhan</v>
          </cell>
          <cell r="F768" t="str">
            <v>Jember</v>
          </cell>
          <cell r="G768" t="str">
            <v>3509111402700003</v>
          </cell>
          <cell r="H768" t="str">
            <v>000000000000000</v>
          </cell>
          <cell r="J768">
            <v>129752799.999864</v>
          </cell>
          <cell r="K768">
            <v>17250000</v>
          </cell>
          <cell r="L768">
            <v>147002799.99986398</v>
          </cell>
        </row>
        <row r="769">
          <cell r="B769" t="str">
            <v>MERD60AC</v>
          </cell>
          <cell r="C769" t="str">
            <v>Merdeka Tani/Sugiono</v>
          </cell>
          <cell r="D769" t="str">
            <v>Achmad Solihin</v>
          </cell>
          <cell r="E769" t="str">
            <v>Dusun Gumuksari, RT.007/RW.010, Kel. Nogosari, Kec. Rambipuji</v>
          </cell>
          <cell r="F769" t="str">
            <v>Jember</v>
          </cell>
          <cell r="G769" t="str">
            <v>3509131402900001</v>
          </cell>
          <cell r="H769" t="str">
            <v>000000000000000</v>
          </cell>
          <cell r="J769">
            <v>143099999.99977201</v>
          </cell>
          <cell r="K769">
            <v>17250000</v>
          </cell>
          <cell r="L769">
            <v>160349999.99977201</v>
          </cell>
        </row>
        <row r="770">
          <cell r="B770" t="str">
            <v>MERD61AC</v>
          </cell>
          <cell r="C770" t="str">
            <v>Merdeka Tani/Sugiono</v>
          </cell>
          <cell r="D770" t="str">
            <v>Siti Muniroh</v>
          </cell>
          <cell r="E770" t="str">
            <v>Dusum Sumberjo RT.043/RW.009 , Kel. Glundengan Kec. Wuluhan</v>
          </cell>
          <cell r="F770" t="str">
            <v>Jember</v>
          </cell>
          <cell r="G770" t="str">
            <v>3509114310600003</v>
          </cell>
          <cell r="H770" t="str">
            <v>000000000000000</v>
          </cell>
          <cell r="J770">
            <v>186867999.99969858</v>
          </cell>
          <cell r="K770">
            <v>0</v>
          </cell>
          <cell r="L770">
            <v>186867999.99969858</v>
          </cell>
        </row>
        <row r="771">
          <cell r="B771" t="str">
            <v>MERD63AC</v>
          </cell>
          <cell r="C771" t="str">
            <v>Merdeka Tani/Sugiono</v>
          </cell>
          <cell r="D771" t="str">
            <v>Abdul Hasan</v>
          </cell>
          <cell r="E771" t="str">
            <v>Dusun Tanjung Sari RT.031/RW.010 , Kel. Glundengan Kec. Wuluhan</v>
          </cell>
          <cell r="F771" t="str">
            <v>Jember</v>
          </cell>
          <cell r="G771" t="str">
            <v>3509110601780007</v>
          </cell>
          <cell r="H771" t="str">
            <v>000000000000000</v>
          </cell>
          <cell r="J771">
            <v>158287999.99981362</v>
          </cell>
          <cell r="K771">
            <v>79040000</v>
          </cell>
          <cell r="L771">
            <v>237327999.99981362</v>
          </cell>
        </row>
        <row r="772">
          <cell r="B772" t="str">
            <v>MERD64AC</v>
          </cell>
          <cell r="C772" t="str">
            <v>Merdeka Tani/Sugiono</v>
          </cell>
          <cell r="D772" t="str">
            <v>Holik</v>
          </cell>
          <cell r="E772" t="str">
            <v>Dusun Tanjungsari RT.032/RW.010 , Kel. Glundengan Kec. Wuluhan</v>
          </cell>
          <cell r="F772" t="str">
            <v>Jember</v>
          </cell>
          <cell r="G772" t="str">
            <v>3509110911890004</v>
          </cell>
          <cell r="H772" t="str">
            <v>000000000000000</v>
          </cell>
          <cell r="J772">
            <v>180767999.99985999</v>
          </cell>
          <cell r="K772">
            <v>79040000</v>
          </cell>
          <cell r="L772">
            <v>259807999.99985999</v>
          </cell>
        </row>
        <row r="773">
          <cell r="B773" t="str">
            <v>MERD65AC</v>
          </cell>
          <cell r="C773" t="str">
            <v>Merdeka Tani/Sugiono</v>
          </cell>
          <cell r="D773" t="str">
            <v>Suhrianto</v>
          </cell>
          <cell r="E773" t="str">
            <v>Dusun Semboro RT.045/RW.011 , Kel. Glundengan Kec. Wuluhan</v>
          </cell>
          <cell r="F773" t="str">
            <v>Jember</v>
          </cell>
          <cell r="G773" t="str">
            <v>3509112802860005</v>
          </cell>
          <cell r="H773" t="str">
            <v>000000000000000</v>
          </cell>
          <cell r="J773">
            <v>180327999.99987042</v>
          </cell>
          <cell r="K773">
            <v>79040000</v>
          </cell>
          <cell r="L773">
            <v>259367999.99987042</v>
          </cell>
        </row>
        <row r="774">
          <cell r="B774" t="str">
            <v>MERD66AC</v>
          </cell>
          <cell r="C774" t="str">
            <v>Merdeka Tani/Sugiono</v>
          </cell>
          <cell r="D774" t="str">
            <v>Sumiati</v>
          </cell>
          <cell r="E774" t="str">
            <v>Dusun Sumberjo RT.037/RW.012 , Kel. Glundengan Kec. Wuluhan</v>
          </cell>
          <cell r="F774" t="str">
            <v>Jember</v>
          </cell>
          <cell r="G774" t="str">
            <v>3509115209790006</v>
          </cell>
          <cell r="H774" t="str">
            <v>000000000000000</v>
          </cell>
          <cell r="J774">
            <v>172515999.9999688</v>
          </cell>
          <cell r="K774">
            <v>79040000</v>
          </cell>
          <cell r="L774">
            <v>251555999.9999688</v>
          </cell>
        </row>
        <row r="775">
          <cell r="B775" t="str">
            <v>MERD67AC</v>
          </cell>
          <cell r="C775" t="str">
            <v>Merdeka Tani/Sugiono</v>
          </cell>
          <cell r="D775" t="str">
            <v>Ahmad</v>
          </cell>
          <cell r="E775" t="str">
            <v>Dusun Tanjung Sari RT.037/RW.010 , Kel. Glundengan Kec. Wuluhan</v>
          </cell>
          <cell r="F775" t="str">
            <v>Jember</v>
          </cell>
          <cell r="G775" t="str">
            <v>3509110911660001</v>
          </cell>
          <cell r="H775" t="str">
            <v>000000000000000</v>
          </cell>
          <cell r="J775">
            <v>168321919.9999792</v>
          </cell>
          <cell r="K775">
            <v>0</v>
          </cell>
          <cell r="L775">
            <v>168321919.9999792</v>
          </cell>
        </row>
        <row r="776">
          <cell r="B776" t="str">
            <v>MERD68AC</v>
          </cell>
          <cell r="C776" t="str">
            <v>Merdeka Tani/Sugiono</v>
          </cell>
          <cell r="D776" t="str">
            <v>Bunami</v>
          </cell>
          <cell r="E776" t="str">
            <v>Dusun Gumuk Limo RT.006/RW.014 , Kec. Nogosari Kel. Rambipuji</v>
          </cell>
          <cell r="F776" t="str">
            <v>Jember</v>
          </cell>
          <cell r="G776" t="str">
            <v>3509135511720004</v>
          </cell>
          <cell r="H776" t="str">
            <v>000000000000000</v>
          </cell>
          <cell r="J776">
            <v>179930079.9999688</v>
          </cell>
          <cell r="K776">
            <v>0</v>
          </cell>
          <cell r="L776">
            <v>179930079.9999688</v>
          </cell>
        </row>
        <row r="777">
          <cell r="B777" t="str">
            <v>MERD69AC</v>
          </cell>
          <cell r="C777" t="str">
            <v>Merdeka Tani/Sugiono</v>
          </cell>
          <cell r="D777" t="str">
            <v>Eka Agustin</v>
          </cell>
          <cell r="E777" t="str">
            <v>Dusun Gumuk Sari RT.025/RW.005 , Kel. Nogosari Kec. Rambipuji</v>
          </cell>
          <cell r="F777" t="str">
            <v>Jember</v>
          </cell>
          <cell r="G777" t="str">
            <v>3509135608920009</v>
          </cell>
          <cell r="H777" t="str">
            <v>000000000000000</v>
          </cell>
          <cell r="J777">
            <v>204319999.9999792</v>
          </cell>
          <cell r="K777">
            <v>0</v>
          </cell>
          <cell r="L777">
            <v>204319999.9999792</v>
          </cell>
        </row>
        <row r="778">
          <cell r="B778" t="str">
            <v>MERD70AC</v>
          </cell>
          <cell r="C778" t="str">
            <v>Merdeka Tani/Sugiono</v>
          </cell>
          <cell r="D778" t="str">
            <v>Muawanah</v>
          </cell>
          <cell r="E778" t="str">
            <v>Dusun Gumuklimo RT.002/RW.014 , Kel. Nogosari Kec. Rambipuji</v>
          </cell>
          <cell r="F778" t="str">
            <v>Jember</v>
          </cell>
          <cell r="G778" t="str">
            <v>3509136304930003</v>
          </cell>
          <cell r="H778" t="str">
            <v>000000000000000</v>
          </cell>
          <cell r="J778">
            <v>189583759.9998728</v>
          </cell>
          <cell r="K778">
            <v>0</v>
          </cell>
          <cell r="L778">
            <v>189583759.9998728</v>
          </cell>
        </row>
        <row r="779">
          <cell r="B779" t="str">
            <v>MERD71AC</v>
          </cell>
          <cell r="C779" t="str">
            <v>Merdeka Tani/Sugiono</v>
          </cell>
          <cell r="D779" t="str">
            <v>Noval Supandi</v>
          </cell>
          <cell r="E779" t="str">
            <v>Dusun Krajan RT.003/RW.003 , Kel. Pecoro Kec. Rambipuji</v>
          </cell>
          <cell r="F779" t="str">
            <v>Jember</v>
          </cell>
          <cell r="G779" t="str">
            <v>3509131906960002</v>
          </cell>
          <cell r="H779" t="str">
            <v>000000000000000</v>
          </cell>
          <cell r="J779">
            <v>176768639.99989361</v>
          </cell>
          <cell r="K779">
            <v>0</v>
          </cell>
          <cell r="L779">
            <v>176768639.99989361</v>
          </cell>
        </row>
        <row r="780">
          <cell r="B780" t="str">
            <v>MERD72AC</v>
          </cell>
          <cell r="C780" t="str">
            <v>Merdeka Tani/Sugiono</v>
          </cell>
          <cell r="D780" t="str">
            <v>Nidin</v>
          </cell>
          <cell r="E780" t="str">
            <v>Dusun Gumuk Sari RT.026/RW.013 , Kel. Nogosari Kec. Rambipuji</v>
          </cell>
          <cell r="F780" t="str">
            <v>Jember</v>
          </cell>
          <cell r="G780" t="str">
            <v>3509130107790237</v>
          </cell>
          <cell r="H780" t="str">
            <v>000000000000000</v>
          </cell>
          <cell r="J780">
            <v>190759999.999942</v>
          </cell>
          <cell r="K780">
            <v>0</v>
          </cell>
          <cell r="L780">
            <v>190759999.999942</v>
          </cell>
        </row>
        <row r="781">
          <cell r="B781" t="str">
            <v>MERD75AC</v>
          </cell>
          <cell r="C781" t="str">
            <v>Merdeka Tani/Sugiono</v>
          </cell>
          <cell r="D781" t="str">
            <v>Ruhyatin</v>
          </cell>
          <cell r="E781" t="str">
            <v>Dusun Sumberjo RT.045/RW.015 , Kel. Glundengan Ke. Wuluhan</v>
          </cell>
          <cell r="F781" t="str">
            <v>Jember</v>
          </cell>
          <cell r="G781" t="str">
            <v>3509115706700006</v>
          </cell>
          <cell r="H781" t="str">
            <v>000000000000000</v>
          </cell>
          <cell r="J781">
            <v>180795999.99976</v>
          </cell>
          <cell r="K781">
            <v>0</v>
          </cell>
          <cell r="L781">
            <v>180795999.99976</v>
          </cell>
        </row>
        <row r="782">
          <cell r="B782" t="str">
            <v>MERD77AC</v>
          </cell>
          <cell r="C782" t="str">
            <v>Merdeka Tani/Sugiono</v>
          </cell>
          <cell r="D782" t="str">
            <v>Iye</v>
          </cell>
          <cell r="E782" t="str">
            <v>Dusun Sumberjo RT.036/RW.012 , Kel. Glundengan Kec. Wuluhan</v>
          </cell>
          <cell r="F782" t="str">
            <v>Jember</v>
          </cell>
          <cell r="G782" t="str">
            <v>3509110107650588</v>
          </cell>
          <cell r="H782" t="str">
            <v>000000000000000</v>
          </cell>
          <cell r="J782">
            <v>156555999.9999319</v>
          </cell>
          <cell r="K782">
            <v>0</v>
          </cell>
          <cell r="L782">
            <v>156555999.9999319</v>
          </cell>
        </row>
        <row r="783">
          <cell r="B783" t="str">
            <v>MERD78AC</v>
          </cell>
          <cell r="C783" t="str">
            <v>Merdeka Tani/Sugiono</v>
          </cell>
          <cell r="D783" t="str">
            <v>Ahmad Salim</v>
          </cell>
          <cell r="E783" t="str">
            <v>Dusun Gumuk Limo RT.009/RW.015 , Kel. Nogosari Kec. Rambipuji</v>
          </cell>
          <cell r="F783" t="str">
            <v>Jember</v>
          </cell>
          <cell r="G783" t="str">
            <v>3509130812750002</v>
          </cell>
          <cell r="H783" t="str">
            <v>000000000000000</v>
          </cell>
          <cell r="J783">
            <v>192936000</v>
          </cell>
          <cell r="K783">
            <v>0</v>
          </cell>
          <cell r="L783">
            <v>192936000</v>
          </cell>
        </row>
        <row r="784">
          <cell r="B784" t="str">
            <v>MERD79AC</v>
          </cell>
          <cell r="C784" t="str">
            <v>Merdeka Tani/Sugiono</v>
          </cell>
          <cell r="D784" t="str">
            <v>Wagisah</v>
          </cell>
          <cell r="E784" t="str">
            <v>Dusun Gumuk Bago RT.004/RW.001 , Kel. Nogosari Kec. Rambipuji</v>
          </cell>
          <cell r="F784" t="str">
            <v>Jember</v>
          </cell>
          <cell r="G784" t="str">
            <v>3509135404630002</v>
          </cell>
          <cell r="H784" t="str">
            <v>000000000000000</v>
          </cell>
          <cell r="J784">
            <v>195047999.9996202</v>
          </cell>
          <cell r="K784">
            <v>0</v>
          </cell>
          <cell r="L784">
            <v>195047999.9996202</v>
          </cell>
        </row>
        <row r="785">
          <cell r="B785" t="str">
            <v>MERD80AC</v>
          </cell>
          <cell r="C785" t="str">
            <v>Merdeka Tani/Sugiono</v>
          </cell>
          <cell r="D785" t="str">
            <v>Bunoso</v>
          </cell>
          <cell r="E785" t="str">
            <v>Dusun Gumuk Sari RT.026/RW.013 , Kel. Nogosari Kec. Rambipuji</v>
          </cell>
          <cell r="F785" t="str">
            <v>Jember</v>
          </cell>
          <cell r="G785" t="str">
            <v>3509130107690257</v>
          </cell>
          <cell r="H785" t="str">
            <v>000000000000000</v>
          </cell>
          <cell r="J785">
            <v>179975999.9995288</v>
          </cell>
          <cell r="K785">
            <v>0</v>
          </cell>
          <cell r="L785">
            <v>179975999.9995288</v>
          </cell>
        </row>
        <row r="786">
          <cell r="B786" t="str">
            <v>MERD81AC</v>
          </cell>
          <cell r="C786" t="str">
            <v>Merdeka Tani/Sugiono</v>
          </cell>
          <cell r="D786" t="str">
            <v>Babun</v>
          </cell>
          <cell r="E786" t="str">
            <v>Dusun Gumuklimo RT.008/RW.015 , Kel. Nogosari Kec. Rambipuji</v>
          </cell>
          <cell r="F786" t="str">
            <v>Jember</v>
          </cell>
          <cell r="G786" t="str">
            <v>3509131003790001</v>
          </cell>
          <cell r="H786" t="str">
            <v>000000000000000</v>
          </cell>
          <cell r="J786">
            <v>165703999.99947602</v>
          </cell>
          <cell r="K786">
            <v>0</v>
          </cell>
          <cell r="L786">
            <v>165703999.99947602</v>
          </cell>
        </row>
        <row r="787">
          <cell r="B787" t="str">
            <v>MERD82AC</v>
          </cell>
          <cell r="C787" t="str">
            <v>Merdeka Tani/Sugiono</v>
          </cell>
          <cell r="D787" t="str">
            <v>Mas Bambang</v>
          </cell>
          <cell r="E787" t="str">
            <v>Dusun Gumuklimo RT.004/RW.015 , Kel. Nogosari Kec. Rambipuji</v>
          </cell>
          <cell r="F787" t="str">
            <v>Jember</v>
          </cell>
          <cell r="G787" t="str">
            <v>3509130212600004</v>
          </cell>
          <cell r="H787" t="str">
            <v>000000000000000</v>
          </cell>
          <cell r="J787">
            <v>176871999.99999499</v>
          </cell>
          <cell r="K787">
            <v>0</v>
          </cell>
          <cell r="L787">
            <v>176871999.99999499</v>
          </cell>
        </row>
        <row r="788">
          <cell r="B788" t="str">
            <v>MERD83AC</v>
          </cell>
          <cell r="C788" t="str">
            <v>Merdeka Tani/Sugiono</v>
          </cell>
          <cell r="D788" t="str">
            <v>Mat Saihu</v>
          </cell>
          <cell r="E788" t="str">
            <v>Dusun Gumuksari RT.026/RW.013 , Kel. Nogosari Kec. Rambipuji</v>
          </cell>
          <cell r="F788" t="str">
            <v>Jember</v>
          </cell>
          <cell r="G788" t="str">
            <v>3509130107640018</v>
          </cell>
          <cell r="H788" t="str">
            <v>000000000000000</v>
          </cell>
          <cell r="J788">
            <v>160416000</v>
          </cell>
          <cell r="K788">
            <v>0</v>
          </cell>
          <cell r="L788">
            <v>160416000</v>
          </cell>
        </row>
        <row r="789">
          <cell r="B789" t="str">
            <v>MERD84AC</v>
          </cell>
          <cell r="C789" t="str">
            <v>Merdeka Tani/Sugiono</v>
          </cell>
          <cell r="D789" t="str">
            <v>Zainal</v>
          </cell>
          <cell r="E789" t="str">
            <v>Dusun Gumuk Bago RT.013/RW.003 , Kel. Nogosari Kec. Rambipuji</v>
          </cell>
          <cell r="F789" t="str">
            <v>Jember</v>
          </cell>
          <cell r="G789" t="str">
            <v>3509130107660100</v>
          </cell>
          <cell r="H789" t="str">
            <v>000000000000000</v>
          </cell>
          <cell r="J789">
            <v>181192000</v>
          </cell>
          <cell r="K789">
            <v>0</v>
          </cell>
          <cell r="L789">
            <v>181192000</v>
          </cell>
        </row>
        <row r="790">
          <cell r="B790" t="str">
            <v>MERD85AC</v>
          </cell>
          <cell r="C790" t="str">
            <v>Merdeka Tani/Sugiono</v>
          </cell>
          <cell r="D790" t="str">
            <v>Amarudin</v>
          </cell>
          <cell r="E790" t="str">
            <v>Dusun Gumuklimo RT.003/RW.001 , Kel. Nogosari Kec. Rambipuji</v>
          </cell>
          <cell r="F790" t="str">
            <v>Jember</v>
          </cell>
          <cell r="G790" t="str">
            <v>3509130103750006</v>
          </cell>
          <cell r="H790" t="str">
            <v>000000000000000</v>
          </cell>
          <cell r="J790">
            <v>168955999.99986303</v>
          </cell>
          <cell r="K790">
            <v>0</v>
          </cell>
          <cell r="L790">
            <v>168955999.99986303</v>
          </cell>
        </row>
        <row r="791">
          <cell r="B791" t="str">
            <v>MERD86AC</v>
          </cell>
          <cell r="C791" t="str">
            <v>Merdeka Tani/Sugiono</v>
          </cell>
          <cell r="D791" t="str">
            <v>Siti Mufaridah</v>
          </cell>
          <cell r="E791" t="str">
            <v>Dusun Gumuksari RT.026/RW.013 , Kel. Nogosari Kec. Rambipuji</v>
          </cell>
          <cell r="F791" t="str">
            <v>Jember</v>
          </cell>
          <cell r="G791" t="str">
            <v>3509134107710297</v>
          </cell>
          <cell r="H791" t="str">
            <v>000000000000000</v>
          </cell>
          <cell r="J791">
            <v>182007999.99969989</v>
          </cell>
          <cell r="K791">
            <v>0</v>
          </cell>
          <cell r="L791">
            <v>182007999.99969989</v>
          </cell>
        </row>
        <row r="792">
          <cell r="B792" t="str">
            <v>MERD87AC</v>
          </cell>
          <cell r="C792" t="str">
            <v>Merdeka Tani/Sugiono</v>
          </cell>
          <cell r="D792" t="str">
            <v>Siti Wulandari</v>
          </cell>
          <cell r="E792" t="str">
            <v>Dusun Gumuklimo RT.002/RW.014 , Kel. Nogosari Kec. Rambipuji</v>
          </cell>
          <cell r="F792" t="str">
            <v>Jember</v>
          </cell>
          <cell r="G792" t="str">
            <v>3509134903960004</v>
          </cell>
          <cell r="H792" t="str">
            <v>000000000000000</v>
          </cell>
          <cell r="J792">
            <v>175878000</v>
          </cell>
          <cell r="K792">
            <v>0</v>
          </cell>
          <cell r="L792">
            <v>175878000</v>
          </cell>
        </row>
        <row r="793">
          <cell r="B793" t="str">
            <v>MERD88AC</v>
          </cell>
          <cell r="C793" t="str">
            <v>Merdeka Tani/Sugiono</v>
          </cell>
          <cell r="D793" t="str">
            <v>Syaeful</v>
          </cell>
          <cell r="E793" t="str">
            <v>Dusun Gumuksari RT.002/RW.001 , Kel. Nogosari Kec. Rambipuji</v>
          </cell>
          <cell r="F793" t="str">
            <v>Jember</v>
          </cell>
          <cell r="G793" t="str">
            <v>3509131607740002</v>
          </cell>
          <cell r="H793" t="str">
            <v>000000000000000</v>
          </cell>
          <cell r="J793">
            <v>23520000</v>
          </cell>
          <cell r="K793">
            <v>0</v>
          </cell>
          <cell r="L793">
            <v>23520000</v>
          </cell>
        </row>
        <row r="794">
          <cell r="B794" t="str">
            <v>MERD89AC</v>
          </cell>
          <cell r="C794" t="str">
            <v>Merdeka Tani/Sugiono</v>
          </cell>
          <cell r="D794" t="str">
            <v>Sutrisno</v>
          </cell>
          <cell r="E794" t="str">
            <v>Dusun Gumuklimo RT.007/RW.014 , Kel. Nogosari Kec. Rambipuji</v>
          </cell>
          <cell r="F794" t="str">
            <v>Jember</v>
          </cell>
          <cell r="G794" t="str">
            <v>3509130702570001</v>
          </cell>
          <cell r="H794" t="str">
            <v>000000000000000</v>
          </cell>
          <cell r="J794">
            <v>37040000</v>
          </cell>
          <cell r="K794">
            <v>0</v>
          </cell>
          <cell r="L794">
            <v>37040000</v>
          </cell>
        </row>
        <row r="795">
          <cell r="B795" t="str">
            <v>MERD90AC</v>
          </cell>
          <cell r="C795" t="str">
            <v>Merdeka Tani/Sugiono</v>
          </cell>
          <cell r="D795" t="str">
            <v>Sumiati</v>
          </cell>
          <cell r="E795" t="str">
            <v>Dusun Gumuk Sari RT.025/RW.013 , Kel. Nogosari Kec. Rambipuji</v>
          </cell>
          <cell r="F795" t="str">
            <v>Jember</v>
          </cell>
          <cell r="G795" t="str">
            <v>3509134107870300</v>
          </cell>
          <cell r="H795" t="str">
            <v>000000000000000</v>
          </cell>
          <cell r="J795">
            <v>37040000</v>
          </cell>
          <cell r="K795">
            <v>0</v>
          </cell>
          <cell r="L795">
            <v>37040000</v>
          </cell>
        </row>
        <row r="796">
          <cell r="B796" t="str">
            <v>MERD91AC</v>
          </cell>
          <cell r="C796" t="str">
            <v>Merdeka Tani/Sugiono</v>
          </cell>
          <cell r="D796" t="str">
            <v>Sumaji</v>
          </cell>
          <cell r="E796" t="str">
            <v>Dusun Gumuklimo RT.005/RW.014 , Kel. Nogosari Kec. Rambipuji</v>
          </cell>
          <cell r="F796" t="str">
            <v>Jember</v>
          </cell>
          <cell r="G796" t="str">
            <v>3509130901640001</v>
          </cell>
          <cell r="H796" t="str">
            <v>000000000000000</v>
          </cell>
          <cell r="J796">
            <v>29993599.999939524</v>
          </cell>
          <cell r="K796">
            <v>0</v>
          </cell>
          <cell r="L796">
            <v>29993599.999939524</v>
          </cell>
        </row>
        <row r="797">
          <cell r="B797" t="str">
            <v>MERD92AC</v>
          </cell>
          <cell r="C797" t="str">
            <v>Merdeka Tani/Sugiono</v>
          </cell>
          <cell r="D797" t="str">
            <v>Siswoyo</v>
          </cell>
          <cell r="E797" t="str">
            <v>Dusun Gumuk Sari RT.026/RW.013 , Kel. Nogosari Kec. Rambipuji</v>
          </cell>
          <cell r="F797" t="str">
            <v>Jember</v>
          </cell>
          <cell r="G797" t="str">
            <v>3509130107630461</v>
          </cell>
          <cell r="H797" t="str">
            <v>000000000000000</v>
          </cell>
          <cell r="J797">
            <v>30079999.999972999</v>
          </cell>
          <cell r="K797">
            <v>0</v>
          </cell>
          <cell r="L797">
            <v>30079999.999972999</v>
          </cell>
        </row>
        <row r="798">
          <cell r="B798" t="str">
            <v>MERD93AC</v>
          </cell>
          <cell r="C798" t="str">
            <v>Merdeka Tani/Sugiono</v>
          </cell>
          <cell r="D798" t="str">
            <v>Sami</v>
          </cell>
          <cell r="E798" t="str">
            <v>Dusun Gumuklimo RT.028/RW.004 , Kel. Nogosari Kec. Rambipuji</v>
          </cell>
          <cell r="F798" t="str">
            <v>Jember</v>
          </cell>
          <cell r="G798" t="str">
            <v>3509135007680003</v>
          </cell>
          <cell r="H798" t="str">
            <v>000000000000000</v>
          </cell>
          <cell r="J798">
            <v>31219999.999970749</v>
          </cell>
          <cell r="K798">
            <v>0</v>
          </cell>
          <cell r="L798">
            <v>31219999.999970749</v>
          </cell>
        </row>
        <row r="799">
          <cell r="B799" t="str">
            <v>MERD94AC</v>
          </cell>
          <cell r="C799" t="str">
            <v>Merdeka Tani/Sugiono</v>
          </cell>
          <cell r="D799" t="str">
            <v>Misnayan</v>
          </cell>
          <cell r="E799" t="str">
            <v>Dusun Gumuk Sari RT.009/RW.010 , Kel. Nogosari Kec. Rambipuji</v>
          </cell>
          <cell r="F799" t="str">
            <v>Jember</v>
          </cell>
          <cell r="G799" t="str">
            <v>3509131705600002</v>
          </cell>
          <cell r="H799" t="str">
            <v>000000000000000</v>
          </cell>
          <cell r="J799">
            <v>33840000</v>
          </cell>
          <cell r="K799">
            <v>0</v>
          </cell>
          <cell r="L799">
            <v>33840000</v>
          </cell>
        </row>
        <row r="800">
          <cell r="B800" t="str">
            <v>MERD95AC</v>
          </cell>
          <cell r="C800" t="str">
            <v>Merdeka Tani/Sugiono</v>
          </cell>
          <cell r="D800" t="str">
            <v>Misnari</v>
          </cell>
          <cell r="E800" t="str">
            <v>Dusun Gumuk Sari RT.001/RW.001 , Kel. Nogosari Kec. Rambipuji</v>
          </cell>
          <cell r="F800" t="str">
            <v>Jember</v>
          </cell>
          <cell r="G800" t="str">
            <v>3509130107670035</v>
          </cell>
          <cell r="H800" t="str">
            <v>000000000000000</v>
          </cell>
          <cell r="J800">
            <v>33840000</v>
          </cell>
          <cell r="K800">
            <v>0</v>
          </cell>
          <cell r="L800">
            <v>33840000</v>
          </cell>
        </row>
        <row r="801">
          <cell r="B801" t="str">
            <v>MERD96AC</v>
          </cell>
          <cell r="C801" t="str">
            <v>Merdeka Tani/Sugiono</v>
          </cell>
          <cell r="D801" t="str">
            <v>Mashadi</v>
          </cell>
          <cell r="E801" t="str">
            <v xml:space="preserve">Dusun Gumuk Sari RT.015/RW.011 , Kel. Nogosari Kec. Rambipuji </v>
          </cell>
          <cell r="F801" t="str">
            <v>Jember</v>
          </cell>
          <cell r="G801" t="str">
            <v>3509130707680002</v>
          </cell>
          <cell r="H801" t="str">
            <v>000000000000000</v>
          </cell>
          <cell r="J801">
            <v>33840000</v>
          </cell>
          <cell r="K801">
            <v>0</v>
          </cell>
          <cell r="L801">
            <v>33840000</v>
          </cell>
        </row>
        <row r="802">
          <cell r="B802" t="str">
            <v>MERD97AC</v>
          </cell>
          <cell r="C802" t="str">
            <v>Merdeka Tani/Sugiono</v>
          </cell>
          <cell r="D802" t="str">
            <v>Ali Muksen</v>
          </cell>
          <cell r="E802" t="str">
            <v>Dusun Gumuk Bago RT.010/RW.007 , Kel. Nogosari Kec. Rambipuji</v>
          </cell>
          <cell r="F802" t="str">
            <v>Jember</v>
          </cell>
          <cell r="G802" t="str">
            <v>3509131712790006</v>
          </cell>
          <cell r="H802" t="str">
            <v>000000000000000</v>
          </cell>
          <cell r="J802">
            <v>28960000</v>
          </cell>
          <cell r="K802">
            <v>0</v>
          </cell>
          <cell r="L802">
            <v>28960000</v>
          </cell>
        </row>
        <row r="803">
          <cell r="B803" t="str">
            <v>MITR01AC</v>
          </cell>
          <cell r="C803" t="str">
            <v>Mitra Tani/Hariyanto</v>
          </cell>
          <cell r="D803" t="str">
            <v>Giman Prawito</v>
          </cell>
          <cell r="E803" t="str">
            <v>Dsn. Sumberejo, RT.001/RW.002, Kel. Kepundungan, Kec. Srono</v>
          </cell>
          <cell r="F803" t="str">
            <v>Banyuwangi</v>
          </cell>
          <cell r="G803" t="str">
            <v>3510082303520002</v>
          </cell>
          <cell r="H803" t="str">
            <v>000000000000000</v>
          </cell>
          <cell r="J803">
            <v>18530000</v>
          </cell>
          <cell r="K803">
            <v>0</v>
          </cell>
          <cell r="L803">
            <v>18530000</v>
          </cell>
        </row>
        <row r="804">
          <cell r="B804" t="str">
            <v>MITR02AC</v>
          </cell>
          <cell r="C804" t="str">
            <v>Mitra Tani/Hariyanto</v>
          </cell>
          <cell r="D804" t="str">
            <v>Jarkoni</v>
          </cell>
          <cell r="E804" t="str">
            <v>Dsn. Sumberejo, RT.002/RW.002, Kel. Kepundungan, Kec. Srono</v>
          </cell>
          <cell r="F804" t="str">
            <v>Banyuwangi</v>
          </cell>
          <cell r="G804" t="str">
            <v>3510082604750006</v>
          </cell>
          <cell r="H804" t="str">
            <v>000000000000000</v>
          </cell>
          <cell r="J804">
            <v>30491600</v>
          </cell>
          <cell r="K804">
            <v>0</v>
          </cell>
          <cell r="L804">
            <v>30491600</v>
          </cell>
        </row>
        <row r="805">
          <cell r="B805" t="str">
            <v>MITR03AC</v>
          </cell>
          <cell r="C805" t="str">
            <v>Mitra Tani/Hariyanto</v>
          </cell>
          <cell r="D805" t="str">
            <v>Yeti Widiyani</v>
          </cell>
          <cell r="E805" t="str">
            <v>Dsn. Sumberejo, RT.002/RW.003, Kel. Kepundungan, Kec. Srono</v>
          </cell>
          <cell r="F805" t="str">
            <v>Banyuwangi</v>
          </cell>
          <cell r="G805" t="str">
            <v>3510084111820002</v>
          </cell>
          <cell r="H805" t="str">
            <v>000000000000000</v>
          </cell>
          <cell r="J805">
            <v>33650000</v>
          </cell>
          <cell r="K805">
            <v>0</v>
          </cell>
          <cell r="L805">
            <v>33650000</v>
          </cell>
        </row>
        <row r="806">
          <cell r="B806" t="str">
            <v>MITR05AC</v>
          </cell>
          <cell r="C806" t="str">
            <v>Mitra Tani/Hariyanto</v>
          </cell>
          <cell r="D806" t="str">
            <v>Ngadisan</v>
          </cell>
          <cell r="E806" t="str">
            <v>Dsn. Blangkon, RT.002/RW.005, Kel. Kebaman, Kec. Srono</v>
          </cell>
          <cell r="F806" t="str">
            <v>Banyuwangi</v>
          </cell>
          <cell r="G806" t="str">
            <v>3510081508500003</v>
          </cell>
          <cell r="H806" t="str">
            <v>000000000000000</v>
          </cell>
          <cell r="J806">
            <v>30458000</v>
          </cell>
          <cell r="K806">
            <v>0</v>
          </cell>
          <cell r="L806">
            <v>30458000</v>
          </cell>
        </row>
        <row r="807">
          <cell r="B807" t="str">
            <v>MITR06AC</v>
          </cell>
          <cell r="C807" t="str">
            <v>Mitra Tani/Hariyanto</v>
          </cell>
          <cell r="D807" t="str">
            <v>Prihatin</v>
          </cell>
          <cell r="E807" t="str">
            <v>Dsn. Blangkon, RT.002/RW.005, Kel. Kebaman, Kec. Srono</v>
          </cell>
          <cell r="F807" t="str">
            <v>Banyuwangi</v>
          </cell>
          <cell r="G807" t="str">
            <v>3510085211750011</v>
          </cell>
          <cell r="H807" t="str">
            <v>000000000000000</v>
          </cell>
          <cell r="J807">
            <v>18530000</v>
          </cell>
          <cell r="K807">
            <v>0</v>
          </cell>
          <cell r="L807">
            <v>18530000</v>
          </cell>
        </row>
        <row r="808">
          <cell r="B808" t="str">
            <v>MITR07AC</v>
          </cell>
          <cell r="C808" t="str">
            <v>Mitra Tani/Hariyanto</v>
          </cell>
          <cell r="D808" t="str">
            <v>Sujoko</v>
          </cell>
          <cell r="E808" t="str">
            <v>Dusun Sumberjo, RT.002/RW.002, Kel. Kepundungan, Kec. Srono</v>
          </cell>
          <cell r="F808" t="str">
            <v>Banyuwangi</v>
          </cell>
          <cell r="G808" t="str">
            <v>3510082606710008</v>
          </cell>
          <cell r="H808" t="str">
            <v>000000000000000</v>
          </cell>
          <cell r="J808">
            <v>26275200</v>
          </cell>
          <cell r="K808">
            <v>0</v>
          </cell>
          <cell r="L808">
            <v>26275200</v>
          </cell>
        </row>
        <row r="809">
          <cell r="B809" t="str">
            <v>MITR08AC</v>
          </cell>
          <cell r="C809" t="str">
            <v>Mitra Tani/Hariyanto</v>
          </cell>
          <cell r="D809" t="str">
            <v>Katiran</v>
          </cell>
          <cell r="E809" t="str">
            <v>Dusun Sumberjo, RT.002/RW.001, Kel. Kepundungan, Kec. Srono</v>
          </cell>
          <cell r="F809" t="str">
            <v>Banyuwangi</v>
          </cell>
          <cell r="G809" t="str">
            <v>3510080904480002</v>
          </cell>
          <cell r="H809" t="str">
            <v>000000000000000</v>
          </cell>
          <cell r="J809">
            <v>31500000</v>
          </cell>
          <cell r="K809">
            <v>0</v>
          </cell>
          <cell r="L809">
            <v>31500000</v>
          </cell>
        </row>
        <row r="810">
          <cell r="B810" t="str">
            <v>MITR09AC</v>
          </cell>
          <cell r="C810" t="str">
            <v>Mitra Tani/Hariyanto</v>
          </cell>
          <cell r="D810" t="str">
            <v>Sumarmi</v>
          </cell>
          <cell r="E810" t="str">
            <v>Dusun Sumberjo, RT.002/RW.001, Kel. Kepundungan, Kec. Srono</v>
          </cell>
          <cell r="F810" t="str">
            <v>Banyuwangi</v>
          </cell>
          <cell r="G810" t="str">
            <v>3510084906730006</v>
          </cell>
          <cell r="H810" t="str">
            <v>000000000000000</v>
          </cell>
          <cell r="J810">
            <v>26275200</v>
          </cell>
          <cell r="K810">
            <v>0</v>
          </cell>
          <cell r="L810">
            <v>26275200</v>
          </cell>
        </row>
        <row r="811">
          <cell r="B811" t="str">
            <v>MITR10AC</v>
          </cell>
          <cell r="C811" t="str">
            <v>Mitra Tani/Hariyanto</v>
          </cell>
          <cell r="D811" t="str">
            <v>Giran</v>
          </cell>
          <cell r="E811" t="str">
            <v>Dusun Sumberjo, RT.002/RW.002, Kel. Kepundungan, Kec. Srono</v>
          </cell>
          <cell r="F811" t="str">
            <v>Banyuwangi</v>
          </cell>
          <cell r="G811" t="str">
            <v>3510081004570003</v>
          </cell>
          <cell r="H811" t="str">
            <v>000000000000000</v>
          </cell>
          <cell r="J811">
            <v>45780000</v>
          </cell>
          <cell r="K811">
            <v>0</v>
          </cell>
          <cell r="L811">
            <v>45780000</v>
          </cell>
        </row>
        <row r="812">
          <cell r="B812" t="str">
            <v>MITR11AC</v>
          </cell>
          <cell r="C812" t="str">
            <v>Mitra Tani/Hariyanto</v>
          </cell>
          <cell r="D812" t="str">
            <v>Titik Pratiwi</v>
          </cell>
          <cell r="E812" t="str">
            <v>Dusun Sumberjo, RT.001/RW.002, Kel. Kepundungan, Kec. Srono</v>
          </cell>
          <cell r="F812" t="str">
            <v>Banyuwangi</v>
          </cell>
          <cell r="G812" t="str">
            <v>3510085011540002</v>
          </cell>
          <cell r="H812" t="str">
            <v>000000000000000</v>
          </cell>
          <cell r="J812">
            <v>29120000</v>
          </cell>
          <cell r="K812">
            <v>0</v>
          </cell>
          <cell r="L812">
            <v>29120000</v>
          </cell>
        </row>
        <row r="813">
          <cell r="B813" t="str">
            <v>MITR13AC</v>
          </cell>
          <cell r="C813" t="str">
            <v>Mitra Tani/Hariyanto</v>
          </cell>
          <cell r="D813" t="str">
            <v>Nur Salim</v>
          </cell>
          <cell r="E813" t="str">
            <v>Dusun Sumberjo, RT.002/RW.003, Kel. Kepundungan, Kec. Srono</v>
          </cell>
          <cell r="F813" t="str">
            <v>Banyuwangi</v>
          </cell>
          <cell r="G813" t="str">
            <v>3510082810760001</v>
          </cell>
          <cell r="H813" t="str">
            <v>000000000000000</v>
          </cell>
          <cell r="J813">
            <v>28520000</v>
          </cell>
          <cell r="K813">
            <v>0</v>
          </cell>
          <cell r="L813">
            <v>28520000</v>
          </cell>
        </row>
        <row r="814">
          <cell r="B814" t="str">
            <v>MITR14AC</v>
          </cell>
          <cell r="C814" t="str">
            <v>Mitra Tani/Hariyanto</v>
          </cell>
          <cell r="D814" t="str">
            <v>Siti Rohmah</v>
          </cell>
          <cell r="E814" t="str">
            <v>Dusun Sumberjo, RT.002/RW.002, Kel. Kepundungan, Kec. Srono</v>
          </cell>
          <cell r="F814" t="str">
            <v>Banyuwangi</v>
          </cell>
          <cell r="G814" t="str">
            <v>3510084510660001</v>
          </cell>
          <cell r="H814" t="str">
            <v>000000000000000</v>
          </cell>
          <cell r="J814">
            <v>32091999.999632001</v>
          </cell>
          <cell r="K814">
            <v>0</v>
          </cell>
          <cell r="L814">
            <v>32091999.999632001</v>
          </cell>
        </row>
        <row r="815">
          <cell r="B815" t="str">
            <v>MITR15AC</v>
          </cell>
          <cell r="C815" t="str">
            <v>Mitra Tani/Hariyanto</v>
          </cell>
          <cell r="D815" t="str">
            <v>Iswahyudi</v>
          </cell>
          <cell r="E815" t="str">
            <v>Dusun Kepundungan, RT.004/RW.002, Kel. Kepundungan, Kec. Srono</v>
          </cell>
          <cell r="F815" t="str">
            <v>Banyuwangi</v>
          </cell>
          <cell r="G815" t="str">
            <v>3510082510830002</v>
          </cell>
          <cell r="H815" t="str">
            <v>000000000000000</v>
          </cell>
          <cell r="J815">
            <v>32317999.999628</v>
          </cell>
          <cell r="K815">
            <v>0</v>
          </cell>
          <cell r="L815">
            <v>32317999.999628</v>
          </cell>
        </row>
        <row r="816">
          <cell r="B816" t="str">
            <v>MITR16AC</v>
          </cell>
          <cell r="C816" t="str">
            <v>Mitra Tani/Hariyanto</v>
          </cell>
          <cell r="D816" t="str">
            <v>Yahmin</v>
          </cell>
          <cell r="E816" t="str">
            <v>Dusun Sumberjo, RT.001/RW.002, Kel. Kepundungan, Kec. Srono</v>
          </cell>
          <cell r="F816" t="str">
            <v>Banyuwangi</v>
          </cell>
          <cell r="G816" t="str">
            <v>3510080101640003</v>
          </cell>
          <cell r="H816" t="str">
            <v>000000000000000</v>
          </cell>
          <cell r="J816">
            <v>31639999.999639999</v>
          </cell>
          <cell r="K816">
            <v>0</v>
          </cell>
          <cell r="L816">
            <v>31639999.999639999</v>
          </cell>
        </row>
        <row r="817">
          <cell r="B817" t="str">
            <v>MITR18AC</v>
          </cell>
          <cell r="C817" t="str">
            <v>Mitra Tani/Hariyanto</v>
          </cell>
          <cell r="D817" t="str">
            <v>Winarsih</v>
          </cell>
          <cell r="E817" t="str">
            <v>Dusun Sumberjo, RT.002/RW.002, Kel. Kepundungan, Kec. Srono</v>
          </cell>
          <cell r="F817" t="str">
            <v>Banyuwangi</v>
          </cell>
          <cell r="G817" t="str">
            <v>3510086111710001</v>
          </cell>
          <cell r="H817" t="str">
            <v>000000000000000</v>
          </cell>
          <cell r="J817">
            <v>0</v>
          </cell>
          <cell r="K817">
            <v>0</v>
          </cell>
          <cell r="L817">
            <v>0</v>
          </cell>
        </row>
        <row r="818">
          <cell r="B818" t="str">
            <v>MITR19AC</v>
          </cell>
          <cell r="C818" t="str">
            <v>Mitra Tani/Hariyanto</v>
          </cell>
          <cell r="D818" t="str">
            <v>Tukidi</v>
          </cell>
          <cell r="E818" t="str">
            <v>Dusun Sumberjo, RT.002/RW.003, Kel. Kepundungan, Kec. Srono</v>
          </cell>
          <cell r="F818" t="str">
            <v>Banyuwangi</v>
          </cell>
          <cell r="G818" t="str">
            <v>3510080507710008</v>
          </cell>
          <cell r="H818" t="str">
            <v>000000000000000</v>
          </cell>
          <cell r="J818">
            <v>0</v>
          </cell>
          <cell r="K818">
            <v>0</v>
          </cell>
          <cell r="L818">
            <v>0</v>
          </cell>
        </row>
        <row r="819">
          <cell r="B819" t="str">
            <v>MITR20AC</v>
          </cell>
          <cell r="C819" t="str">
            <v>Mitra Tani/Hariyanto</v>
          </cell>
          <cell r="D819" t="str">
            <v>Anwarudin</v>
          </cell>
          <cell r="E819" t="str">
            <v>Dusun Sumberejo, RT.001/RW.001, Kel. Kepundungan, Kec. Srono</v>
          </cell>
          <cell r="F819" t="str">
            <v>Banyuwangi</v>
          </cell>
          <cell r="G819" t="str">
            <v>3510080403680004</v>
          </cell>
          <cell r="H819" t="str">
            <v>000000000000000</v>
          </cell>
          <cell r="J819">
            <v>0</v>
          </cell>
          <cell r="K819">
            <v>0</v>
          </cell>
          <cell r="L819">
            <v>0</v>
          </cell>
        </row>
        <row r="820">
          <cell r="B820" t="str">
            <v>MITR21AC</v>
          </cell>
          <cell r="C820" t="str">
            <v>Mitra Tani/Hariyanto</v>
          </cell>
          <cell r="D820" t="str">
            <v>Lina Nuryanti</v>
          </cell>
          <cell r="E820" t="str">
            <v>Dusun Sumberejo, RT.001/RW.002, Kel. Kepundungan, Kec. Srono</v>
          </cell>
          <cell r="F820" t="str">
            <v>Banyuwangi</v>
          </cell>
          <cell r="G820" t="str">
            <v>3510084708860006</v>
          </cell>
          <cell r="H820" t="str">
            <v>000000000000000</v>
          </cell>
          <cell r="J820">
            <v>0</v>
          </cell>
          <cell r="K820">
            <v>0</v>
          </cell>
          <cell r="L820">
            <v>0</v>
          </cell>
        </row>
        <row r="821">
          <cell r="B821" t="str">
            <v>MITR22AC</v>
          </cell>
          <cell r="C821" t="str">
            <v>Mitra Tani/Hariyanto</v>
          </cell>
          <cell r="D821" t="str">
            <v>Istiqomah</v>
          </cell>
          <cell r="E821" t="str">
            <v>Dsn Cempokosari, RT.001/Rw.004, Kel. Sarimulyo, Kec. Cluring</v>
          </cell>
          <cell r="F821" t="str">
            <v>Banyuwangi</v>
          </cell>
          <cell r="G821" t="str">
            <v>3510064301540001</v>
          </cell>
          <cell r="H821" t="str">
            <v>000000000000000</v>
          </cell>
          <cell r="J821">
            <v>0</v>
          </cell>
          <cell r="K821">
            <v>0</v>
          </cell>
          <cell r="L821">
            <v>0</v>
          </cell>
        </row>
        <row r="822">
          <cell r="B822" t="str">
            <v>MITR23AC</v>
          </cell>
          <cell r="C822" t="str">
            <v>Mitra Tani/Hariyanto</v>
          </cell>
          <cell r="D822" t="str">
            <v>Marmi</v>
          </cell>
          <cell r="E822" t="str">
            <v>Dusun Sumberjo, RT.002/RW.002, Kel. Kepundungan, Kec. Srono</v>
          </cell>
          <cell r="F822" t="str">
            <v>Banyuwangi</v>
          </cell>
          <cell r="G822" t="str">
            <v>3510084907560001</v>
          </cell>
          <cell r="H822" t="str">
            <v>000000000000000</v>
          </cell>
          <cell r="J822">
            <v>0</v>
          </cell>
          <cell r="K822">
            <v>0</v>
          </cell>
          <cell r="L822">
            <v>0</v>
          </cell>
        </row>
        <row r="823">
          <cell r="B823" t="str">
            <v>MITR24AC</v>
          </cell>
          <cell r="C823" t="str">
            <v>Mitra Tani/Hariyanto</v>
          </cell>
          <cell r="D823" t="str">
            <v>Sripah</v>
          </cell>
          <cell r="E823" t="str">
            <v>Dusun Sumberjo, RT.003/RW.001, Kel. Kepundungan, Kec. Srono</v>
          </cell>
          <cell r="F823" t="str">
            <v>Banyuwangi</v>
          </cell>
          <cell r="G823" t="str">
            <v>3510086303680003</v>
          </cell>
          <cell r="H823" t="str">
            <v>000000000000000</v>
          </cell>
          <cell r="J823">
            <v>0</v>
          </cell>
          <cell r="K823">
            <v>0</v>
          </cell>
          <cell r="L823">
            <v>0</v>
          </cell>
        </row>
        <row r="824">
          <cell r="B824" t="str">
            <v>MITR27AC</v>
          </cell>
          <cell r="C824" t="str">
            <v>Mitra Tani/Hariyanto</v>
          </cell>
          <cell r="D824" t="str">
            <v>Lasmirah</v>
          </cell>
          <cell r="E824" t="str">
            <v>Dusun Sumberjo, RT.002/RW.003, Kel. Kepundungan, Kec. Srono</v>
          </cell>
          <cell r="F824" t="str">
            <v>Banyuwangi</v>
          </cell>
          <cell r="G824" t="str">
            <v>3510085704620002</v>
          </cell>
          <cell r="H824" t="str">
            <v>000000000000000</v>
          </cell>
          <cell r="J824">
            <v>0</v>
          </cell>
          <cell r="K824">
            <v>0</v>
          </cell>
          <cell r="L824">
            <v>0</v>
          </cell>
        </row>
        <row r="825">
          <cell r="B825" t="str">
            <v>MITR28AC</v>
          </cell>
          <cell r="C825" t="str">
            <v>Mitra Tani/Hariyanto</v>
          </cell>
          <cell r="D825" t="str">
            <v>Sakiman</v>
          </cell>
          <cell r="E825" t="str">
            <v>Dusun Sumberjo, RT.003/RW.001, Kel. Kepundungan, Kec. Srono</v>
          </cell>
          <cell r="F825" t="str">
            <v>Banyuwangi</v>
          </cell>
          <cell r="G825" t="str">
            <v>3510081103550001</v>
          </cell>
          <cell r="H825" t="str">
            <v>000000000000000</v>
          </cell>
          <cell r="J825">
            <v>0</v>
          </cell>
          <cell r="K825">
            <v>0</v>
          </cell>
          <cell r="L825">
            <v>0</v>
          </cell>
        </row>
        <row r="826">
          <cell r="B826" t="str">
            <v>MITR29AC</v>
          </cell>
          <cell r="C826" t="str">
            <v>Mitra Tani/Hariyanto</v>
          </cell>
          <cell r="D826" t="str">
            <v>Paijan</v>
          </cell>
          <cell r="E826" t="str">
            <v>Dusun Sumberjo, RT.003/RW.001, Kel. Kepundungan, Kec. Srono</v>
          </cell>
          <cell r="F826" t="str">
            <v>Banyuwangi</v>
          </cell>
          <cell r="G826" t="str">
            <v>3510080604520001</v>
          </cell>
          <cell r="H826" t="str">
            <v>000000000000000</v>
          </cell>
          <cell r="J826">
            <v>0</v>
          </cell>
          <cell r="K826">
            <v>0</v>
          </cell>
          <cell r="L826">
            <v>0</v>
          </cell>
        </row>
        <row r="827">
          <cell r="B827" t="str">
            <v>MITR30AC</v>
          </cell>
          <cell r="C827" t="str">
            <v>Mitra Tani/Hariyanto</v>
          </cell>
          <cell r="D827" t="str">
            <v>Ponidi</v>
          </cell>
          <cell r="E827" t="str">
            <v>Dusun Krajan, RT.003/RW.002, Kel.. Sumbersari, Kec. Srono</v>
          </cell>
          <cell r="F827" t="str">
            <v>Banyuwangi</v>
          </cell>
          <cell r="G827" t="str">
            <v>3510081212570002</v>
          </cell>
          <cell r="H827" t="str">
            <v>000000000000000</v>
          </cell>
          <cell r="J827">
            <v>0</v>
          </cell>
          <cell r="K827">
            <v>0</v>
          </cell>
          <cell r="L827">
            <v>0</v>
          </cell>
        </row>
        <row r="828">
          <cell r="B828" t="str">
            <v>MITR31AC</v>
          </cell>
          <cell r="C828" t="str">
            <v>Mitra Tani/Hariyanto</v>
          </cell>
          <cell r="D828" t="str">
            <v>Ustianah</v>
          </cell>
          <cell r="E828" t="str">
            <v>Dusun Sumberjo, RT.002/RW.002, Kel. Kepundungan, Kec. Srono</v>
          </cell>
          <cell r="F828" t="str">
            <v>Banyuwangi</v>
          </cell>
          <cell r="G828" t="str">
            <v>3510084605660007</v>
          </cell>
          <cell r="H828" t="str">
            <v>000000000000000</v>
          </cell>
          <cell r="J828">
            <v>0</v>
          </cell>
          <cell r="K828">
            <v>0</v>
          </cell>
          <cell r="L828">
            <v>0</v>
          </cell>
        </row>
        <row r="829">
          <cell r="B829" t="str">
            <v>MITR32AC</v>
          </cell>
          <cell r="C829" t="str">
            <v>Mitra Tani/Hariyanto</v>
          </cell>
          <cell r="D829" t="str">
            <v>Fatkhur Rozi</v>
          </cell>
          <cell r="E829" t="str">
            <v>Dusun Sumberejo, RT.001/RW.002, Kel. Kepundungan, Kec. Srono</v>
          </cell>
          <cell r="F829" t="str">
            <v>Banyuwangi</v>
          </cell>
          <cell r="G829" t="str">
            <v>3510080708620001</v>
          </cell>
          <cell r="H829" t="str">
            <v>000000000000000</v>
          </cell>
          <cell r="J829">
            <v>0</v>
          </cell>
          <cell r="K829">
            <v>0</v>
          </cell>
          <cell r="L829">
            <v>0</v>
          </cell>
        </row>
        <row r="830">
          <cell r="B830" t="str">
            <v>MITR33AC</v>
          </cell>
          <cell r="C830" t="str">
            <v>Mitra Tani/Hariyanto</v>
          </cell>
          <cell r="D830" t="str">
            <v>Mariyam</v>
          </cell>
          <cell r="E830" t="str">
            <v>Dusun Sumberjo, RT.002/RW.002, Kel. Kepundungan, Kec. Srono</v>
          </cell>
          <cell r="F830" t="str">
            <v>Banyuwangi</v>
          </cell>
          <cell r="G830" t="str">
            <v>3510087006710029</v>
          </cell>
          <cell r="H830" t="str">
            <v>000000000000000</v>
          </cell>
          <cell r="J830">
            <v>0</v>
          </cell>
          <cell r="K830">
            <v>0</v>
          </cell>
          <cell r="L830">
            <v>0</v>
          </cell>
        </row>
        <row r="831">
          <cell r="B831" t="str">
            <v>MITR35AC</v>
          </cell>
          <cell r="C831" t="str">
            <v>Mitra Tani/Hariyanto</v>
          </cell>
          <cell r="D831" t="str">
            <v>Budi Santoso</v>
          </cell>
          <cell r="E831" t="str">
            <v>Dusun Blangkon, RT.002/RW.005, Kel. Kebaman, Kec. Srono</v>
          </cell>
          <cell r="F831" t="str">
            <v>Banyuwangi</v>
          </cell>
          <cell r="G831" t="str">
            <v>3510080512730001</v>
          </cell>
          <cell r="H831" t="str">
            <v>000000000000000</v>
          </cell>
          <cell r="J831">
            <v>0</v>
          </cell>
          <cell r="K831">
            <v>0</v>
          </cell>
          <cell r="L831">
            <v>0</v>
          </cell>
        </row>
        <row r="832">
          <cell r="B832" t="str">
            <v>SUNA01AC</v>
          </cell>
          <cell r="C832" t="str">
            <v>Mitra Tani/Sunardi</v>
          </cell>
          <cell r="D832" t="str">
            <v>Waris</v>
          </cell>
          <cell r="E832" t="str">
            <v>Dsn. Blokagung, RT.003/RW.004, Kel. Karangdoro, Kec. Tegalsari</v>
          </cell>
          <cell r="F832" t="str">
            <v>Banyuwangi</v>
          </cell>
          <cell r="G832" t="str">
            <v>3510230602690005</v>
          </cell>
          <cell r="H832" t="str">
            <v>000000000000000</v>
          </cell>
          <cell r="J832">
            <v>0</v>
          </cell>
          <cell r="K832">
            <v>0</v>
          </cell>
          <cell r="L832">
            <v>0</v>
          </cell>
        </row>
        <row r="833">
          <cell r="B833" t="str">
            <v>SUNA02AC</v>
          </cell>
          <cell r="C833" t="str">
            <v>Mitra Tani/Sunardi</v>
          </cell>
          <cell r="D833" t="str">
            <v>Mujiono</v>
          </cell>
          <cell r="E833" t="str">
            <v xml:space="preserve">Dsn. Sumbermanggis, RT.004/RW.014, Kel. Barurejo, Kec. Siliragung </v>
          </cell>
          <cell r="F833" t="str">
            <v>Banyuwangi</v>
          </cell>
          <cell r="G833" t="str">
            <v>3510221102680003</v>
          </cell>
          <cell r="H833" t="str">
            <v>000000000000000</v>
          </cell>
          <cell r="J833">
            <v>0</v>
          </cell>
          <cell r="K833">
            <v>0</v>
          </cell>
          <cell r="L833">
            <v>0</v>
          </cell>
        </row>
        <row r="834">
          <cell r="B834" t="str">
            <v>SUNA03AC</v>
          </cell>
          <cell r="C834" t="str">
            <v>Mitra Tani/Sunardi</v>
          </cell>
          <cell r="D834" t="str">
            <v>Mesran</v>
          </cell>
          <cell r="E834" t="str">
            <v>Dsn. Blokagung, RT.005/RW.005, Kel. Karangdoro, Kec. Tegalsari</v>
          </cell>
          <cell r="F834" t="str">
            <v>Banyuwangi</v>
          </cell>
          <cell r="G834" t="str">
            <v>3510230506770004</v>
          </cell>
          <cell r="H834" t="str">
            <v>000000000000000</v>
          </cell>
          <cell r="J834">
            <v>0</v>
          </cell>
          <cell r="K834">
            <v>0</v>
          </cell>
          <cell r="L834">
            <v>0</v>
          </cell>
        </row>
        <row r="835">
          <cell r="B835" t="str">
            <v>ABDU01AC</v>
          </cell>
          <cell r="C835" t="str">
            <v>Mitra Tani/Yudi, H</v>
          </cell>
          <cell r="D835" t="str">
            <v>Sayuti</v>
          </cell>
          <cell r="E835" t="str">
            <v>Ds. Curawoloh, RT.003/RW.003, Kel. Mojotengah, Kec. Sukorejo</v>
          </cell>
          <cell r="F835" t="str">
            <v>Pasuruan</v>
          </cell>
          <cell r="G835" t="str">
            <v>3514095010650005</v>
          </cell>
          <cell r="H835" t="str">
            <v>000000000000000</v>
          </cell>
          <cell r="J835">
            <v>0</v>
          </cell>
          <cell r="K835">
            <v>0</v>
          </cell>
          <cell r="L835">
            <v>0</v>
          </cell>
        </row>
        <row r="836">
          <cell r="B836" t="str">
            <v>ABDU02AC</v>
          </cell>
          <cell r="C836" t="str">
            <v>Mitra Tani/Yudi, H</v>
          </cell>
          <cell r="D836" t="str">
            <v>Abdul Wahab</v>
          </cell>
          <cell r="E836" t="str">
            <v>Dsn. Tegal Kidul, RT.007/RW.003, Kel. Jatiarjo, Kec. Prigen</v>
          </cell>
          <cell r="F836" t="str">
            <v>Pasuruan</v>
          </cell>
          <cell r="G836" t="str">
            <v>3514100403760009</v>
          </cell>
          <cell r="H836" t="str">
            <v>000000000000000</v>
          </cell>
          <cell r="J836">
            <v>0</v>
          </cell>
          <cell r="K836">
            <v>0</v>
          </cell>
          <cell r="L836">
            <v>0</v>
          </cell>
        </row>
        <row r="837">
          <cell r="B837" t="str">
            <v>ABDU03AC</v>
          </cell>
          <cell r="C837" t="str">
            <v>Mitra Tani/Yudi, H</v>
          </cell>
          <cell r="D837" t="str">
            <v>Abd. Majid</v>
          </cell>
          <cell r="E837" t="str">
            <v>Dusun Genengan, RT.004/RW.002, Kel. Glagahsari, Kec. Sukorejo</v>
          </cell>
          <cell r="F837" t="str">
            <v>Pasuruan</v>
          </cell>
          <cell r="G837" t="str">
            <v>3514091802570001</v>
          </cell>
          <cell r="H837" t="str">
            <v>000000000000000</v>
          </cell>
          <cell r="J837">
            <v>0</v>
          </cell>
          <cell r="K837">
            <v>0</v>
          </cell>
          <cell r="L837">
            <v>0</v>
          </cell>
        </row>
        <row r="838">
          <cell r="B838" t="str">
            <v>ABDU04AC</v>
          </cell>
          <cell r="C838" t="str">
            <v>Mitra Tani/Yudi, H</v>
          </cell>
          <cell r="D838" t="str">
            <v>Abdulloh Faqih</v>
          </cell>
          <cell r="E838" t="str">
            <v>Dusun Genengan, RT.003/RW.002, Kel. Glagahsari, Kec. Sukorejo</v>
          </cell>
          <cell r="F838" t="str">
            <v>Pasuruan</v>
          </cell>
          <cell r="G838" t="str">
            <v>3514091111490001</v>
          </cell>
          <cell r="H838" t="str">
            <v>000000000000000</v>
          </cell>
          <cell r="J838">
            <v>0</v>
          </cell>
          <cell r="K838">
            <v>0</v>
          </cell>
          <cell r="L838">
            <v>0</v>
          </cell>
        </row>
        <row r="839">
          <cell r="B839" t="str">
            <v>ABDU05AC</v>
          </cell>
          <cell r="C839" t="str">
            <v>Mitra Tani/Yudi, H</v>
          </cell>
          <cell r="D839" t="str">
            <v>Aswan</v>
          </cell>
          <cell r="E839" t="str">
            <v>Dusun Pakunden, RT.002/RW.010, Kel. Pakukerto, Kec. Sukorejo</v>
          </cell>
          <cell r="F839" t="str">
            <v>Pasuruan</v>
          </cell>
          <cell r="G839" t="str">
            <v>3514092507630001</v>
          </cell>
          <cell r="H839" t="str">
            <v>000000000000000</v>
          </cell>
          <cell r="J839">
            <v>0</v>
          </cell>
          <cell r="K839">
            <v>0</v>
          </cell>
          <cell r="L839">
            <v>0</v>
          </cell>
        </row>
        <row r="840">
          <cell r="B840" t="str">
            <v>ABDU06AC</v>
          </cell>
          <cell r="C840" t="str">
            <v>Mitra Tani/Yudi, H</v>
          </cell>
          <cell r="D840" t="str">
            <v>Astro</v>
          </cell>
          <cell r="E840" t="str">
            <v>Dsn. Sengkan, RT.002/RW.007, Kel. Sukorejo, Kec. Sukorejo</v>
          </cell>
          <cell r="F840" t="str">
            <v>Pasuruan</v>
          </cell>
          <cell r="G840" t="str">
            <v>3514093006610044</v>
          </cell>
          <cell r="H840" t="str">
            <v>000000000000000</v>
          </cell>
          <cell r="J840">
            <v>0</v>
          </cell>
          <cell r="K840">
            <v>0</v>
          </cell>
          <cell r="L840">
            <v>0</v>
          </cell>
        </row>
        <row r="841">
          <cell r="B841" t="str">
            <v>ABDU07AC</v>
          </cell>
          <cell r="C841" t="str">
            <v>Mitra Tani/Yudi, H</v>
          </cell>
          <cell r="D841" t="str">
            <v>Amin</v>
          </cell>
          <cell r="E841" t="str">
            <v>Dusun Genengan, RT.004/RW.001, Kel. Glagahsari, Kec. Sukorejo</v>
          </cell>
          <cell r="F841" t="str">
            <v>Pasuruan</v>
          </cell>
          <cell r="G841" t="str">
            <v>3514091610620002</v>
          </cell>
          <cell r="H841" t="str">
            <v>000000000000000</v>
          </cell>
          <cell r="J841">
            <v>0</v>
          </cell>
          <cell r="K841">
            <v>0</v>
          </cell>
          <cell r="L841">
            <v>0</v>
          </cell>
        </row>
        <row r="842">
          <cell r="B842" t="str">
            <v>ABDU08AC</v>
          </cell>
          <cell r="C842" t="str">
            <v>Mitra Tani/Yudi, H</v>
          </cell>
          <cell r="D842" t="str">
            <v>Agus Salim</v>
          </cell>
          <cell r="E842" t="str">
            <v>Dusun Genengan, RT.003/RW.001, Kel. Glagahsari, Kec. Sukorejo</v>
          </cell>
          <cell r="F842" t="str">
            <v>Pasuruan</v>
          </cell>
          <cell r="G842" t="str">
            <v>3514091408940001</v>
          </cell>
          <cell r="H842" t="str">
            <v>000000000000000</v>
          </cell>
          <cell r="J842">
            <v>0</v>
          </cell>
          <cell r="K842">
            <v>0</v>
          </cell>
          <cell r="L842">
            <v>0</v>
          </cell>
        </row>
        <row r="843">
          <cell r="B843" t="str">
            <v>MITRA01AC</v>
          </cell>
          <cell r="C843" t="str">
            <v>Mitra Usaha Tani/Yulianto</v>
          </cell>
          <cell r="D843" t="str">
            <v>Abdullah</v>
          </cell>
          <cell r="E843" t="str">
            <v>Miru, RT.006/RW.002, Kel. Miru, Kec. Sekaran</v>
          </cell>
          <cell r="F843" t="str">
            <v>Lamongan</v>
          </cell>
          <cell r="G843" t="str">
            <v>3524090311510002</v>
          </cell>
          <cell r="H843" t="str">
            <v>000000000000000</v>
          </cell>
          <cell r="J843">
            <v>0</v>
          </cell>
          <cell r="K843">
            <v>0</v>
          </cell>
          <cell r="L843">
            <v>0</v>
          </cell>
        </row>
        <row r="844">
          <cell r="B844" t="str">
            <v>MITRA02AC</v>
          </cell>
          <cell r="C844" t="str">
            <v>Mitra Usaha Tani/Yulianto</v>
          </cell>
          <cell r="D844" t="str">
            <v>Sumining</v>
          </cell>
          <cell r="E844" t="str">
            <v>Miru, RT.010/RW.003, Kel. Miru, Kec. Sekaran</v>
          </cell>
          <cell r="F844" t="str">
            <v>Lamongan</v>
          </cell>
          <cell r="G844" t="str">
            <v>3524094407640001</v>
          </cell>
          <cell r="H844" t="str">
            <v>000000000000000</v>
          </cell>
          <cell r="J844">
            <v>0</v>
          </cell>
          <cell r="K844">
            <v>0</v>
          </cell>
          <cell r="L844">
            <v>0</v>
          </cell>
        </row>
        <row r="845">
          <cell r="B845" t="str">
            <v>MITRA03AC</v>
          </cell>
          <cell r="C845" t="str">
            <v>Mitra Usaha Tani/Yulianto</v>
          </cell>
          <cell r="D845" t="str">
            <v>Lely Andriyani</v>
          </cell>
          <cell r="E845" t="str">
            <v>Miru, RT.010/RW.003, Kel. Miru, Kec. Sekaran</v>
          </cell>
          <cell r="F845" t="str">
            <v>Lamongan</v>
          </cell>
          <cell r="G845" t="str">
            <v>3524094912880001</v>
          </cell>
          <cell r="H845" t="str">
            <v>000000000000000</v>
          </cell>
          <cell r="J845">
            <v>0</v>
          </cell>
          <cell r="K845">
            <v>0</v>
          </cell>
          <cell r="L845">
            <v>0</v>
          </cell>
        </row>
        <row r="846">
          <cell r="B846" t="str">
            <v>MITRA04AC</v>
          </cell>
          <cell r="C846" t="str">
            <v>Mitra Usaha Tani/Yulianto</v>
          </cell>
          <cell r="D846" t="str">
            <v>Kasemat</v>
          </cell>
          <cell r="E846" t="str">
            <v>Miru, RT.003/RW.001, Kel. Miru, Kec. Sekaran</v>
          </cell>
          <cell r="F846" t="str">
            <v>Lamongan</v>
          </cell>
          <cell r="G846" t="str">
            <v>3524090206520001</v>
          </cell>
          <cell r="H846" t="str">
            <v>000000000000000</v>
          </cell>
          <cell r="J846">
            <v>0</v>
          </cell>
          <cell r="K846">
            <v>0</v>
          </cell>
          <cell r="L846">
            <v>0</v>
          </cell>
        </row>
        <row r="847">
          <cell r="B847" t="str">
            <v>MITRA05AC</v>
          </cell>
          <cell r="C847" t="str">
            <v>Mitra Usaha Tani/Yulianto</v>
          </cell>
          <cell r="D847" t="str">
            <v>Samikan</v>
          </cell>
          <cell r="E847" t="str">
            <v>Miru, RT.012/RW.004, Kel. Miru, Kec. Sekaran</v>
          </cell>
          <cell r="F847" t="str">
            <v>Lamongan</v>
          </cell>
          <cell r="G847" t="str">
            <v>3524091010680001</v>
          </cell>
          <cell r="H847" t="str">
            <v>000000000000000</v>
          </cell>
          <cell r="J847">
            <v>0</v>
          </cell>
          <cell r="K847">
            <v>0</v>
          </cell>
          <cell r="L847">
            <v>0</v>
          </cell>
        </row>
        <row r="848">
          <cell r="B848" t="str">
            <v>MPM01AC</v>
          </cell>
          <cell r="C848" t="str">
            <v>Mohan Putra Mandiri</v>
          </cell>
          <cell r="D848" t="str">
            <v>Soleh</v>
          </cell>
          <cell r="E848" t="str">
            <v>Dsn. Wadang RT.15/RW.005, Kel. Wadang, Kec. Ngasem</v>
          </cell>
          <cell r="F848" t="str">
            <v>Bojonegoro</v>
          </cell>
          <cell r="G848" t="str">
            <v>3522041010580004</v>
          </cell>
          <cell r="H848" t="str">
            <v>000000000000000</v>
          </cell>
          <cell r="J848">
            <v>0</v>
          </cell>
          <cell r="K848">
            <v>0</v>
          </cell>
          <cell r="L848">
            <v>0</v>
          </cell>
        </row>
        <row r="849">
          <cell r="B849" t="str">
            <v>MPM02AC</v>
          </cell>
          <cell r="C849" t="str">
            <v>Mohan Putra Mandiri</v>
          </cell>
          <cell r="D849" t="str">
            <v>Fitri Ratna S. S</v>
          </cell>
          <cell r="E849" t="str">
            <v>Kalitidu, RT.012 / RW.002, Kec. Kalitidu, Kel Kalitidu</v>
          </cell>
          <cell r="F849" t="str">
            <v>Bojonegoro</v>
          </cell>
          <cell r="G849" t="str">
            <v>3522164502960001</v>
          </cell>
          <cell r="H849" t="str">
            <v>000000000000000</v>
          </cell>
          <cell r="J849">
            <v>0</v>
          </cell>
          <cell r="K849">
            <v>0</v>
          </cell>
          <cell r="L849">
            <v>0</v>
          </cell>
        </row>
        <row r="850">
          <cell r="B850" t="str">
            <v>MPM03AC</v>
          </cell>
          <cell r="C850" t="str">
            <v>Mohan Putra Mandiri</v>
          </cell>
          <cell r="D850" t="str">
            <v>Debi Feri S</v>
          </cell>
          <cell r="E850" t="str">
            <v>Mojosari, RT.011 / RW.002, Kel. Mojosari / Kec. Kalitidu</v>
          </cell>
          <cell r="F850" t="str">
            <v>Bojonegoro</v>
          </cell>
          <cell r="G850" t="str">
            <v>3522160704910004</v>
          </cell>
          <cell r="H850" t="str">
            <v>000000000000000</v>
          </cell>
          <cell r="J850">
            <v>0</v>
          </cell>
          <cell r="K850">
            <v>0</v>
          </cell>
          <cell r="L850">
            <v>0</v>
          </cell>
        </row>
        <row r="851">
          <cell r="B851" t="str">
            <v>MPM04AC</v>
          </cell>
          <cell r="C851" t="str">
            <v>Mohan Putra Mandiri</v>
          </cell>
          <cell r="D851" t="str">
            <v>Sutrisno</v>
          </cell>
          <cell r="E851" t="str">
            <v>Ngujo, RT.012/ RW. 002, Kel. Ngujo, Kec. Kalitidu</v>
          </cell>
          <cell r="F851" t="str">
            <v>Bojonegoro</v>
          </cell>
          <cell r="G851" t="str">
            <v>3522161203760007</v>
          </cell>
          <cell r="H851" t="str">
            <v>000000000000000</v>
          </cell>
          <cell r="J851">
            <v>0</v>
          </cell>
          <cell r="K851">
            <v>0</v>
          </cell>
          <cell r="L851">
            <v>0</v>
          </cell>
        </row>
        <row r="852">
          <cell r="B852" t="str">
            <v>MPM05AC</v>
          </cell>
          <cell r="C852" t="str">
            <v>Mohan Putra Mandiri</v>
          </cell>
          <cell r="D852" t="str">
            <v>Hendrik Susilo</v>
          </cell>
          <cell r="E852" t="str">
            <v>Jampet, RT.016/ RW.004, Kel. Jampet, Kec. Ngasem</v>
          </cell>
          <cell r="F852" t="str">
            <v>Bojonegoro</v>
          </cell>
          <cell r="G852" t="str">
            <v>3522041707950004</v>
          </cell>
          <cell r="H852" t="str">
            <v>000000000000000</v>
          </cell>
          <cell r="J852">
            <v>0</v>
          </cell>
          <cell r="K852">
            <v>0</v>
          </cell>
          <cell r="L852">
            <v>0</v>
          </cell>
        </row>
        <row r="853">
          <cell r="B853" t="str">
            <v>MPM06AC</v>
          </cell>
          <cell r="C853" t="str">
            <v>Mohan Putra Mandiri</v>
          </cell>
          <cell r="D853" t="str">
            <v>Arif Fauzan</v>
          </cell>
          <cell r="E853" t="str">
            <v>Ngujo, RT.005/ RW. 001, Kel. Ngujo, Kec. Kalitidu</v>
          </cell>
          <cell r="F853" t="str">
            <v>Bojonegoro</v>
          </cell>
          <cell r="G853" t="str">
            <v>3522160606940003</v>
          </cell>
          <cell r="H853" t="str">
            <v>000000000000000</v>
          </cell>
          <cell r="J853">
            <v>0</v>
          </cell>
          <cell r="K853">
            <v>0</v>
          </cell>
          <cell r="L853">
            <v>0</v>
          </cell>
        </row>
        <row r="854">
          <cell r="B854" t="str">
            <v>MPM07AC</v>
          </cell>
          <cell r="C854" t="str">
            <v>Mohan Putra Mandiri</v>
          </cell>
          <cell r="D854" t="str">
            <v>Jupri</v>
          </cell>
          <cell r="E854" t="str">
            <v>Tlumbung, RT.012/RW.003, Kel. Manukan, Kec. Gayam</v>
          </cell>
          <cell r="F854" t="str">
            <v>Bojonegoro</v>
          </cell>
          <cell r="G854" t="str">
            <v>3522160506660001</v>
          </cell>
          <cell r="H854" t="str">
            <v>000000000000000</v>
          </cell>
          <cell r="J854">
            <v>0</v>
          </cell>
          <cell r="K854">
            <v>0</v>
          </cell>
          <cell r="L854">
            <v>0</v>
          </cell>
        </row>
        <row r="855">
          <cell r="B855" t="str">
            <v>MUGI01AC</v>
          </cell>
          <cell r="C855" t="str">
            <v>Mugi Lestari, Kios</v>
          </cell>
          <cell r="D855" t="str">
            <v>Sri Muntayah</v>
          </cell>
          <cell r="E855" t="str">
            <v>Dusun Jatirejo, RT.001/RW.001, Kel. Pakisrejo, Kec. Tanggunggunung</v>
          </cell>
          <cell r="F855" t="str">
            <v>Tulungagung</v>
          </cell>
          <cell r="G855" t="str">
            <v>3504195003700001</v>
          </cell>
          <cell r="H855" t="str">
            <v>000000000000000</v>
          </cell>
          <cell r="J855">
            <v>14240000</v>
          </cell>
          <cell r="K855">
            <v>0</v>
          </cell>
          <cell r="L855">
            <v>14240000</v>
          </cell>
        </row>
        <row r="856">
          <cell r="B856" t="str">
            <v>MUGI02AC</v>
          </cell>
          <cell r="C856" t="str">
            <v>Mugi Lestari, Kios</v>
          </cell>
          <cell r="D856" t="str">
            <v>Yeyen Wahyu Fitriana</v>
          </cell>
          <cell r="E856" t="str">
            <v>Dsn. Jatirejo, RT.001/RW.001, Kel. Pakisrejo, Kec. Tanggunggunung</v>
          </cell>
          <cell r="F856" t="str">
            <v>Tulungagung</v>
          </cell>
          <cell r="G856" t="str">
            <v>3504196810890002</v>
          </cell>
          <cell r="H856" t="str">
            <v>000000000000000</v>
          </cell>
          <cell r="J856">
            <v>0</v>
          </cell>
          <cell r="K856">
            <v>0</v>
          </cell>
          <cell r="L856">
            <v>0</v>
          </cell>
        </row>
        <row r="857">
          <cell r="B857" t="str">
            <v>MUGI03AC</v>
          </cell>
          <cell r="C857" t="str">
            <v>Mugi Lestari, Kios</v>
          </cell>
          <cell r="D857" t="str">
            <v>Susanto</v>
          </cell>
          <cell r="E857" t="str">
            <v>Dsn. Jatirejo, RT.001/RW.001, Kel. Pakisrejo, Kec. Tanggunggunung</v>
          </cell>
          <cell r="F857" t="str">
            <v>Tulungagung</v>
          </cell>
          <cell r="G857" t="str">
            <v>3504152409860002</v>
          </cell>
          <cell r="H857" t="str">
            <v>000000000000000</v>
          </cell>
          <cell r="J857">
            <v>0</v>
          </cell>
          <cell r="K857">
            <v>0</v>
          </cell>
          <cell r="L857">
            <v>0</v>
          </cell>
        </row>
        <row r="858">
          <cell r="B858" t="str">
            <v>MULI01AC</v>
          </cell>
          <cell r="C858" t="str">
            <v>Mulia Jaya/Sugianto</v>
          </cell>
          <cell r="D858" t="str">
            <v>Fariah</v>
          </cell>
          <cell r="E858" t="str">
            <v>Kala, RT.003/ RW.001, Kel. Kala, Kec. Donggo</v>
          </cell>
          <cell r="F858" t="str">
            <v>Bima</v>
          </cell>
          <cell r="G858" t="str">
            <v>5206084107731078</v>
          </cell>
          <cell r="H858" t="str">
            <v>000000000000000</v>
          </cell>
          <cell r="J858">
            <v>0</v>
          </cell>
          <cell r="K858">
            <v>0</v>
          </cell>
          <cell r="L858">
            <v>0</v>
          </cell>
        </row>
        <row r="859">
          <cell r="B859" t="str">
            <v>MULI02AC</v>
          </cell>
          <cell r="C859" t="str">
            <v>Mulia Jaya/Sugianto</v>
          </cell>
          <cell r="D859" t="str">
            <v>Sumarni</v>
          </cell>
          <cell r="E859" t="str">
            <v>Pemukiman, RT.004/RW.002, Kel. Bumi Pajo, Kec. Donggo</v>
          </cell>
          <cell r="F859" t="str">
            <v>Bima</v>
          </cell>
          <cell r="G859" t="str">
            <v>5206085703760001</v>
          </cell>
          <cell r="H859" t="str">
            <v>000000000000000</v>
          </cell>
          <cell r="J859">
            <v>0</v>
          </cell>
          <cell r="K859">
            <v>0</v>
          </cell>
          <cell r="L859">
            <v>0</v>
          </cell>
        </row>
        <row r="860">
          <cell r="B860" t="str">
            <v>MULI03AC</v>
          </cell>
          <cell r="C860" t="str">
            <v>Mulia Jaya/Sugianto</v>
          </cell>
          <cell r="D860" t="str">
            <v>Sri Rahmah</v>
          </cell>
          <cell r="E860" t="str">
            <v>Dusun Suka Maju, RT.006/RW.002, Kel. Kaleo, Kec. Lambu</v>
          </cell>
          <cell r="F860" t="str">
            <v>Bima</v>
          </cell>
          <cell r="G860" t="str">
            <v>5206124101781006</v>
          </cell>
          <cell r="H860" t="str">
            <v>000000000000000</v>
          </cell>
          <cell r="J860">
            <v>0</v>
          </cell>
          <cell r="K860">
            <v>0</v>
          </cell>
          <cell r="L860">
            <v>0</v>
          </cell>
        </row>
        <row r="861">
          <cell r="B861" t="str">
            <v>MULI04AC</v>
          </cell>
          <cell r="C861" t="str">
            <v>Mulia Jaya/Sugianto</v>
          </cell>
          <cell r="D861" t="str">
            <v>Jufrin</v>
          </cell>
          <cell r="E861" t="str">
            <v>Dusun Sori, RT.009/RW.005, Kel. Sumbi, Kec. Lambu</v>
          </cell>
          <cell r="F861" t="str">
            <v>Bima</v>
          </cell>
          <cell r="G861" t="str">
            <v>5206120605710001</v>
          </cell>
          <cell r="H861" t="str">
            <v>000000000000000</v>
          </cell>
          <cell r="J861">
            <v>0</v>
          </cell>
          <cell r="K861">
            <v>0</v>
          </cell>
          <cell r="L861">
            <v>0</v>
          </cell>
        </row>
        <row r="862">
          <cell r="B862" t="str">
            <v>RISM01AC</v>
          </cell>
          <cell r="C862" t="str">
            <v>Mulyo Tani, UD</v>
          </cell>
          <cell r="D862" t="str">
            <v>Paimin</v>
          </cell>
          <cell r="E862" t="str">
            <v>Dsn. Sidorejo wetan, RT.004/Rw.002, Kel. Yosomulyo, Kec. Gambiran</v>
          </cell>
          <cell r="F862" t="str">
            <v>Banyuwangi</v>
          </cell>
          <cell r="G862" t="str">
            <v>3510070302620003</v>
          </cell>
          <cell r="H862" t="str">
            <v>000000000000000</v>
          </cell>
          <cell r="J862">
            <v>0</v>
          </cell>
          <cell r="K862">
            <v>0</v>
          </cell>
          <cell r="L862">
            <v>0</v>
          </cell>
        </row>
        <row r="863">
          <cell r="B863" t="str">
            <v>RISM02AC</v>
          </cell>
          <cell r="C863" t="str">
            <v>Mulyo Tani, UD</v>
          </cell>
          <cell r="D863" t="str">
            <v>Muhammad Misroi</v>
          </cell>
          <cell r="E863" t="str">
            <v>Dsn. Sumberejo, RT.001/RW.001, Kel.Wringinagung, Kec. Gambiran</v>
          </cell>
          <cell r="F863" t="str">
            <v>Banyuwangi</v>
          </cell>
          <cell r="G863" t="str">
            <v>3510070303730008</v>
          </cell>
          <cell r="H863" t="str">
            <v>000000000000000</v>
          </cell>
          <cell r="J863">
            <v>0</v>
          </cell>
          <cell r="K863">
            <v>0</v>
          </cell>
          <cell r="L863">
            <v>0</v>
          </cell>
        </row>
        <row r="864">
          <cell r="B864" t="str">
            <v>RISM03AC</v>
          </cell>
          <cell r="C864" t="str">
            <v>Mulyo Tani, UD</v>
          </cell>
          <cell r="D864" t="str">
            <v>Darsono</v>
          </cell>
          <cell r="E864" t="str">
            <v>Dsn. Sidorejo wetan, RT.002/Rw.004, Kel. Yosomulyo, Kec. Gambiran</v>
          </cell>
          <cell r="F864" t="str">
            <v>Banyuwangi</v>
          </cell>
          <cell r="G864" t="str">
            <v>3510070502740003</v>
          </cell>
          <cell r="H864" t="str">
            <v>000000000000000</v>
          </cell>
          <cell r="J864">
            <v>0</v>
          </cell>
          <cell r="K864">
            <v>0</v>
          </cell>
          <cell r="L864">
            <v>0</v>
          </cell>
        </row>
        <row r="865">
          <cell r="B865" t="str">
            <v>RISM04AC</v>
          </cell>
          <cell r="C865" t="str">
            <v>Mulyo Tani, UD</v>
          </cell>
          <cell r="D865" t="str">
            <v>Wagito</v>
          </cell>
          <cell r="E865" t="str">
            <v>Dsn. Sidorejo Kulon, RT.001/RW.002, Kel. Yosomulyo, Kec. Gambiran</v>
          </cell>
          <cell r="F865" t="str">
            <v>Banyuwangi</v>
          </cell>
          <cell r="G865" t="str">
            <v>3510072103670001</v>
          </cell>
          <cell r="H865" t="str">
            <v>000000000000000</v>
          </cell>
          <cell r="J865">
            <v>0</v>
          </cell>
          <cell r="K865">
            <v>0</v>
          </cell>
          <cell r="L865">
            <v>0</v>
          </cell>
        </row>
        <row r="866">
          <cell r="B866" t="str">
            <v>MUTI01AC</v>
          </cell>
          <cell r="C866" t="str">
            <v>Mutiara Sejati/Inge</v>
          </cell>
          <cell r="D866" t="str">
            <v>Mulyono</v>
          </cell>
          <cell r="E866" t="str">
            <v>Dusun Jajar, RT.005/RW.002, Kel. Temaji, Kec. Jenu</v>
          </cell>
          <cell r="F866" t="str">
            <v>Tuban</v>
          </cell>
          <cell r="G866" t="str">
            <v>3523121006740001</v>
          </cell>
          <cell r="H866" t="str">
            <v>000000000000000</v>
          </cell>
          <cell r="I866" t="str">
            <v>Untuk Bibit Komersil, obat di acak</v>
          </cell>
          <cell r="J866">
            <v>0</v>
          </cell>
          <cell r="K866">
            <v>0</v>
          </cell>
          <cell r="L866">
            <v>0</v>
          </cell>
        </row>
        <row r="867">
          <cell r="B867" t="str">
            <v>MUTI02AC</v>
          </cell>
          <cell r="C867" t="str">
            <v>Mutiara Sejati/Inge</v>
          </cell>
          <cell r="D867" t="str">
            <v>Rudi Witanto</v>
          </cell>
          <cell r="E867" t="str">
            <v>Lingk. Jarkali, RT.003/RW.016, Kel. Gedongombo, Kec. Semanding</v>
          </cell>
          <cell r="F867" t="str">
            <v>Tuban</v>
          </cell>
          <cell r="G867" t="str">
            <v>3523152707870002</v>
          </cell>
          <cell r="H867" t="str">
            <v>000000000000000</v>
          </cell>
          <cell r="J867">
            <v>0</v>
          </cell>
          <cell r="K867">
            <v>0</v>
          </cell>
          <cell r="L867">
            <v>0</v>
          </cell>
        </row>
        <row r="868">
          <cell r="B868" t="str">
            <v>MUTI03AC</v>
          </cell>
          <cell r="C868" t="str">
            <v>Mutiara Sejati/Inge</v>
          </cell>
          <cell r="D868" t="str">
            <v>Adi Pranoto</v>
          </cell>
          <cell r="E868" t="str">
            <v>Dsn. Kesamben Timur, RT.006/RW.001, Kel. Kesamben, Kec. Plumpang</v>
          </cell>
          <cell r="F868" t="str">
            <v>Tuban</v>
          </cell>
          <cell r="G868" t="str">
            <v>3523172805940002</v>
          </cell>
          <cell r="H868" t="str">
            <v>000000000000000</v>
          </cell>
          <cell r="J868">
            <v>0</v>
          </cell>
          <cell r="K868">
            <v>0</v>
          </cell>
          <cell r="L868">
            <v>0</v>
          </cell>
        </row>
        <row r="869">
          <cell r="B869" t="str">
            <v>MUTI04AC</v>
          </cell>
          <cell r="C869" t="str">
            <v>Mutiara Sejati/Inge</v>
          </cell>
          <cell r="D869" t="str">
            <v>Insiyah</v>
          </cell>
          <cell r="E869" t="str">
            <v>Nguruan, RT.008/RW.001, Kel. Nguruan, Kec. Soko</v>
          </cell>
          <cell r="F869" t="str">
            <v>Tuban</v>
          </cell>
          <cell r="G869" t="str">
            <v>3523114107640197</v>
          </cell>
          <cell r="H869" t="str">
            <v>000000000000000</v>
          </cell>
          <cell r="J869">
            <v>0</v>
          </cell>
          <cell r="K869">
            <v>0</v>
          </cell>
          <cell r="L869">
            <v>0</v>
          </cell>
        </row>
        <row r="870">
          <cell r="B870" t="str">
            <v>MUTI06AC</v>
          </cell>
          <cell r="C870" t="str">
            <v>Mutiara Sejati/Inge</v>
          </cell>
          <cell r="D870" t="str">
            <v>Nurudin</v>
          </cell>
          <cell r="E870" t="str">
            <v>Klumpit, RT.004/RW.002, Kel. Klumpit, Kec. Soko</v>
          </cell>
          <cell r="F870" t="str">
            <v>Tuban</v>
          </cell>
          <cell r="G870" t="str">
            <v>3523111006920002</v>
          </cell>
          <cell r="H870" t="str">
            <v>000000000000000</v>
          </cell>
          <cell r="J870">
            <v>0</v>
          </cell>
          <cell r="K870">
            <v>0</v>
          </cell>
          <cell r="L870">
            <v>0</v>
          </cell>
        </row>
        <row r="871">
          <cell r="B871" t="str">
            <v>MUTI07AC</v>
          </cell>
          <cell r="C871" t="str">
            <v>Mutiara Sejati/Inge</v>
          </cell>
          <cell r="D871" t="str">
            <v>Eko Rukmanto</v>
          </cell>
          <cell r="E871" t="str">
            <v>Dsn. Pakah RT.002/RW.007' Kel. Gesing, Kec. Semanding</v>
          </cell>
          <cell r="F871" t="str">
            <v>Tuban</v>
          </cell>
          <cell r="G871" t="str">
            <v>3523151808690001</v>
          </cell>
          <cell r="H871" t="str">
            <v>000000000000000</v>
          </cell>
          <cell r="I871" t="str">
            <v>Z2562 (22/12/2022)</v>
          </cell>
          <cell r="J871">
            <v>0</v>
          </cell>
          <cell r="K871">
            <v>0</v>
          </cell>
          <cell r="L871">
            <v>0</v>
          </cell>
        </row>
        <row r="872">
          <cell r="B872" t="str">
            <v>MUTI08AC</v>
          </cell>
          <cell r="C872" t="str">
            <v>Mutiara Sejati/Inge</v>
          </cell>
          <cell r="D872" t="str">
            <v>Suhartono</v>
          </cell>
          <cell r="E872" t="str">
            <v>Jl. Panglima Sudirman, RT.003/RW.002, Kel. Sukolilo, Kec. Tuban</v>
          </cell>
          <cell r="F872" t="str">
            <v>Tuban</v>
          </cell>
          <cell r="G872" t="str">
            <v>3523160607830009</v>
          </cell>
          <cell r="H872" t="str">
            <v>000000000000000</v>
          </cell>
          <cell r="I872" t="str">
            <v>Z1059 ( 07/06/2023 )</v>
          </cell>
          <cell r="J872">
            <v>0</v>
          </cell>
          <cell r="K872">
            <v>0</v>
          </cell>
          <cell r="L872">
            <v>0</v>
          </cell>
        </row>
        <row r="873">
          <cell r="B873" t="str">
            <v>IMR07AC</v>
          </cell>
          <cell r="C873" t="str">
            <v>Mutiara Tani, UD/Abdur Rahman</v>
          </cell>
          <cell r="D873" t="str">
            <v>Ahmad Syafi'i</v>
          </cell>
          <cell r="E873" t="str">
            <v>Dusun Krajan, Kel. Wongsorejo, Kec. Wongsorejo</v>
          </cell>
          <cell r="F873" t="str">
            <v>Banyuwangi</v>
          </cell>
          <cell r="G873" t="str">
            <v>3510180102730007</v>
          </cell>
          <cell r="H873" t="str">
            <v>000000000000000</v>
          </cell>
          <cell r="I873" t="str">
            <v>Tidak Lapor Pajak , Nota I Non Pajak WhatsApp</v>
          </cell>
          <cell r="J873">
            <v>113277519.99973206</v>
          </cell>
          <cell r="K873">
            <v>0</v>
          </cell>
          <cell r="L873">
            <v>113277519.99973206</v>
          </cell>
        </row>
        <row r="874">
          <cell r="B874" t="str">
            <v>IMR08AC</v>
          </cell>
          <cell r="C874" t="str">
            <v>Mutiara Tani, UD/Abdur Rahman</v>
          </cell>
          <cell r="D874" t="str">
            <v>Anton Supriyadi</v>
          </cell>
          <cell r="E874" t="str">
            <v>Dusun Krajan, Kel. Wongsorejo, Kec. Wongsorejo</v>
          </cell>
          <cell r="F874" t="str">
            <v>Banyuwangi</v>
          </cell>
          <cell r="G874" t="str">
            <v>3510180810840003</v>
          </cell>
          <cell r="H874" t="str">
            <v>000000000000000</v>
          </cell>
          <cell r="J874">
            <v>95013599.999832213</v>
          </cell>
          <cell r="K874">
            <v>0</v>
          </cell>
          <cell r="L874">
            <v>95013599.999832213</v>
          </cell>
        </row>
        <row r="875">
          <cell r="B875" t="str">
            <v>IMR09AC</v>
          </cell>
          <cell r="C875" t="str">
            <v>Mutiara Tani, UD/Abdur Rahman</v>
          </cell>
          <cell r="D875" t="str">
            <v>Ngaderi MT</v>
          </cell>
          <cell r="E875" t="str">
            <v>Dusun Krajan, Kel. Wongsorejo, Kec. Wongsorejo</v>
          </cell>
          <cell r="F875" t="str">
            <v>Banyuwangi</v>
          </cell>
          <cell r="G875" t="str">
            <v>3510183006650140</v>
          </cell>
          <cell r="H875" t="str">
            <v>000000000000000</v>
          </cell>
          <cell r="J875">
            <v>107162399.99986576</v>
          </cell>
          <cell r="K875">
            <v>0</v>
          </cell>
          <cell r="L875">
            <v>107162399.99986576</v>
          </cell>
        </row>
        <row r="876">
          <cell r="B876" t="str">
            <v>IMR10AC</v>
          </cell>
          <cell r="C876" t="str">
            <v>Mutiara Tani, UD/Abdur Rahman</v>
          </cell>
          <cell r="D876" t="str">
            <v>Katirin</v>
          </cell>
          <cell r="E876" t="str">
            <v>Dusun Krajan, Kel. Wongsorejo, Kec. Wongsorejo</v>
          </cell>
          <cell r="F876" t="str">
            <v>Banyuwangi</v>
          </cell>
          <cell r="G876" t="str">
            <v>3510181409570002</v>
          </cell>
          <cell r="H876" t="str">
            <v>000000000000000</v>
          </cell>
          <cell r="J876">
            <v>122303999.9998313</v>
          </cell>
          <cell r="K876">
            <v>0</v>
          </cell>
          <cell r="L876">
            <v>122303999.9998313</v>
          </cell>
        </row>
        <row r="877">
          <cell r="B877" t="str">
            <v>IMR11AC</v>
          </cell>
          <cell r="C877" t="str">
            <v>Mutiara Tani, UD/Abdur Rahman</v>
          </cell>
          <cell r="D877" t="str">
            <v>Suyoto</v>
          </cell>
          <cell r="E877" t="str">
            <v>Dusun Krajan II, RT.004 / RW. 002, Kel. Alasbuluh, Kec. Wongsorejo</v>
          </cell>
          <cell r="F877" t="str">
            <v>Banyuwangi</v>
          </cell>
          <cell r="G877" t="str">
            <v>3510181510710001</v>
          </cell>
          <cell r="H877" t="str">
            <v>000000000000000</v>
          </cell>
          <cell r="J877">
            <v>109187999.99885489</v>
          </cell>
          <cell r="K877">
            <v>0</v>
          </cell>
          <cell r="L877">
            <v>109187999.99885489</v>
          </cell>
        </row>
        <row r="878">
          <cell r="B878" t="str">
            <v>IMR12AC</v>
          </cell>
          <cell r="C878" t="str">
            <v>Mutiara Tani, UD/Abdur Rahman</v>
          </cell>
          <cell r="D878" t="str">
            <v>Dery Zulkarnain</v>
          </cell>
          <cell r="E878" t="str">
            <v>Dusun Krajan, RT.004 / RW.020, Kel. Wongsorejo, Kec. Wongsorejo</v>
          </cell>
          <cell r="F878" t="str">
            <v>Banyuwangi</v>
          </cell>
          <cell r="G878" t="str">
            <v>3510182510790001</v>
          </cell>
          <cell r="H878" t="str">
            <v>000000000000000</v>
          </cell>
          <cell r="J878">
            <v>120685999.99977571</v>
          </cell>
          <cell r="K878">
            <v>0</v>
          </cell>
          <cell r="L878">
            <v>120685999.99977571</v>
          </cell>
        </row>
        <row r="879">
          <cell r="B879" t="str">
            <v>IMR13AC</v>
          </cell>
          <cell r="C879" t="str">
            <v>Mutiara Tani, UD/Abdur Rahman</v>
          </cell>
          <cell r="D879" t="str">
            <v>A. Sulhan</v>
          </cell>
          <cell r="E879" t="str">
            <v>Dusun Krajan II, RT.010 / RW.001, Kel. Alasbuluh, Kec. Wogsorejo</v>
          </cell>
          <cell r="F879" t="str">
            <v>Banyuwangi</v>
          </cell>
          <cell r="G879" t="str">
            <v>3510182105590001</v>
          </cell>
          <cell r="H879" t="str">
            <v>000000000000000</v>
          </cell>
          <cell r="J879">
            <v>108565319.99987458</v>
          </cell>
          <cell r="K879">
            <v>0</v>
          </cell>
          <cell r="L879">
            <v>108565319.99987458</v>
          </cell>
        </row>
        <row r="880">
          <cell r="B880" t="str">
            <v>IMR14AC</v>
          </cell>
          <cell r="C880" t="str">
            <v>Mutiara Tani, UD/Abdur Rahman</v>
          </cell>
          <cell r="D880" t="str">
            <v>Agus Nuryanto</v>
          </cell>
          <cell r="E880" t="str">
            <v>Dusun Krajan, RT.006 / RW.001, Kel. Alasbuluh, Kec. Wongsorejo</v>
          </cell>
          <cell r="F880" t="str">
            <v>Banyuwangi</v>
          </cell>
          <cell r="G880" t="str">
            <v>3510181605850003</v>
          </cell>
          <cell r="H880" t="str">
            <v>000000000000000</v>
          </cell>
          <cell r="J880">
            <v>102235999.99995552</v>
          </cell>
          <cell r="K880">
            <v>0</v>
          </cell>
          <cell r="L880">
            <v>102235999.99995552</v>
          </cell>
        </row>
        <row r="881">
          <cell r="B881" t="str">
            <v>IMR15AC</v>
          </cell>
          <cell r="C881" t="str">
            <v>Mutiara Tani, UD/Abdur Rahman</v>
          </cell>
          <cell r="D881" t="str">
            <v>Misnadi</v>
          </cell>
          <cell r="E881" t="str">
            <v>Dusun Karangrejo Utara, RT.007 / RW.001, Kel. Wongsorejo, Kec. Wongsorejo</v>
          </cell>
          <cell r="F881" t="str">
            <v>Banyuwangi</v>
          </cell>
          <cell r="G881" t="str">
            <v>3510182206790003</v>
          </cell>
          <cell r="H881" t="str">
            <v>000000000000000</v>
          </cell>
          <cell r="J881">
            <v>103234000</v>
          </cell>
          <cell r="K881">
            <v>0</v>
          </cell>
          <cell r="L881">
            <v>103234000</v>
          </cell>
        </row>
        <row r="882">
          <cell r="B882" t="str">
            <v>IMR16AC</v>
          </cell>
          <cell r="C882" t="str">
            <v>Mutiara Tani, UD/Abdur Rahman</v>
          </cell>
          <cell r="D882" t="str">
            <v>Mulahwi</v>
          </cell>
          <cell r="E882" t="str">
            <v>Dusun Krajan, RT.003 / RW.011, Kel. Wongsorejo, Kec. Wongsorejo</v>
          </cell>
          <cell r="F882" t="str">
            <v>Banyuwangi</v>
          </cell>
          <cell r="G882" t="str">
            <v>3510181705600001</v>
          </cell>
          <cell r="H882" t="str">
            <v>000000000000000</v>
          </cell>
          <cell r="J882">
            <v>133392000</v>
          </cell>
          <cell r="K882">
            <v>0</v>
          </cell>
          <cell r="L882">
            <v>133392000</v>
          </cell>
        </row>
        <row r="883">
          <cell r="B883" t="str">
            <v>IMR17AC</v>
          </cell>
          <cell r="C883" t="str">
            <v>Mutiara Tani, UD/Abdur Rahman</v>
          </cell>
          <cell r="D883" t="str">
            <v>Moh. Suhawi</v>
          </cell>
          <cell r="E883" t="str">
            <v>Dusun Possumur, RT.001 / RW.004, Kel. Bengkak, Kec. Wongsorejo</v>
          </cell>
          <cell r="F883" t="str">
            <v>Banyuwangi</v>
          </cell>
          <cell r="G883" t="str">
            <v>3510181108650003</v>
          </cell>
          <cell r="H883" t="str">
            <v>000000000000000</v>
          </cell>
          <cell r="J883">
            <v>66416399.9999808</v>
          </cell>
          <cell r="K883">
            <v>0</v>
          </cell>
          <cell r="L883">
            <v>66416399.9999808</v>
          </cell>
        </row>
        <row r="884">
          <cell r="B884" t="str">
            <v>IMR18AC</v>
          </cell>
          <cell r="C884" t="str">
            <v>Mutiara Tani, UD/Abdur Rahman</v>
          </cell>
          <cell r="D884" t="str">
            <v>Muhammad Hasan</v>
          </cell>
          <cell r="E884" t="str">
            <v>Dusun Krajan, RT.001 / RW. 010, Kel. Wongsorejo, Kec. Wongsorejo</v>
          </cell>
          <cell r="F884" t="str">
            <v>Banyuwangi</v>
          </cell>
          <cell r="G884" t="str">
            <v>3510181105940002</v>
          </cell>
          <cell r="H884" t="str">
            <v>000000000000000</v>
          </cell>
          <cell r="J884">
            <v>73184000</v>
          </cell>
          <cell r="K884">
            <v>0</v>
          </cell>
          <cell r="L884">
            <v>73184000</v>
          </cell>
        </row>
        <row r="885">
          <cell r="B885" t="str">
            <v>IMR19AC</v>
          </cell>
          <cell r="C885" t="str">
            <v>Mutiara Tani, UD/Abdur Rahman</v>
          </cell>
          <cell r="D885" t="str">
            <v>Busana</v>
          </cell>
          <cell r="E885" t="str">
            <v>Dusun Karangrejo Utara, RT.001 / RW.002, Kel. Wongsorejo, Kec. Wongsorejo</v>
          </cell>
          <cell r="F885" t="str">
            <v>Banyuwangi</v>
          </cell>
          <cell r="G885" t="str">
            <v>3510181202730009</v>
          </cell>
          <cell r="H885" t="str">
            <v>000000000000000</v>
          </cell>
          <cell r="J885">
            <v>65908000</v>
          </cell>
          <cell r="K885">
            <v>0</v>
          </cell>
          <cell r="L885">
            <v>65908000</v>
          </cell>
        </row>
        <row r="886">
          <cell r="B886" t="str">
            <v>IMR20AC</v>
          </cell>
          <cell r="C886" t="str">
            <v>Mutiara Tani, UD/Abdur Rahman</v>
          </cell>
          <cell r="D886" t="str">
            <v>Narto</v>
          </cell>
          <cell r="E886" t="str">
            <v>Dusun Krajan, RT.003 / RW.005, Kel. Wongsorejo, Kec. Wongsorejo</v>
          </cell>
          <cell r="F886" t="str">
            <v>Banyuwangi</v>
          </cell>
          <cell r="G886" t="str">
            <v>3510183006540073</v>
          </cell>
          <cell r="H886" t="str">
            <v>000000000000000</v>
          </cell>
          <cell r="J886">
            <v>44656000</v>
          </cell>
          <cell r="K886">
            <v>0</v>
          </cell>
          <cell r="L886">
            <v>44656000</v>
          </cell>
        </row>
        <row r="887">
          <cell r="B887" t="str">
            <v>IMR22AC</v>
          </cell>
          <cell r="C887" t="str">
            <v>Mutiara Tani, UD/Abdur Rahman</v>
          </cell>
          <cell r="D887" t="str">
            <v>Arifin</v>
          </cell>
          <cell r="E887" t="str">
            <v>Dusun Krajan Baru, RT.008 / RW. 001, Kel. Alasbuluh, Kec. Wongsorejo</v>
          </cell>
          <cell r="F887" t="str">
            <v>Banyuwangi</v>
          </cell>
          <cell r="G887" t="str">
            <v>3510181909760002</v>
          </cell>
          <cell r="H887" t="str">
            <v>000000000000000</v>
          </cell>
          <cell r="J887">
            <v>89176000</v>
          </cell>
          <cell r="K887">
            <v>0</v>
          </cell>
          <cell r="L887">
            <v>89176000</v>
          </cell>
        </row>
        <row r="888">
          <cell r="B888" t="str">
            <v>IMR24AC</v>
          </cell>
          <cell r="C888" t="str">
            <v>Mutiara Tani, UD/Abdur Rahman</v>
          </cell>
          <cell r="D888" t="str">
            <v>Kusmiyanto</v>
          </cell>
          <cell r="E888" t="str">
            <v>Dusun Krajan I, RT.003 / RW.001, Kel. Alasbuluh, Kec. Wongsorejo</v>
          </cell>
          <cell r="F888" t="str">
            <v>Banyuwangi</v>
          </cell>
          <cell r="G888" t="str">
            <v>3510180404780012</v>
          </cell>
          <cell r="H888" t="str">
            <v>000000000000000</v>
          </cell>
          <cell r="J888">
            <v>57448000</v>
          </cell>
          <cell r="K888">
            <v>0</v>
          </cell>
          <cell r="L888">
            <v>57448000</v>
          </cell>
        </row>
        <row r="889">
          <cell r="B889" t="str">
            <v>IMR25AC</v>
          </cell>
          <cell r="C889" t="str">
            <v>Mutiara Tani, UD/Abdur Rahman</v>
          </cell>
          <cell r="D889" t="str">
            <v>Sumarjono</v>
          </cell>
          <cell r="E889" t="str">
            <v>Dusun Krajan, RT.001 / RW.002, Kel. Wongsorejo, Kec. Wongsorejo</v>
          </cell>
          <cell r="F889" t="str">
            <v>Banyuwangi</v>
          </cell>
          <cell r="G889" t="str">
            <v>3510040504700011</v>
          </cell>
          <cell r="H889" t="str">
            <v>000000000000000</v>
          </cell>
          <cell r="J889">
            <v>61576000</v>
          </cell>
          <cell r="K889">
            <v>0</v>
          </cell>
          <cell r="L889">
            <v>61576000</v>
          </cell>
        </row>
        <row r="890">
          <cell r="B890" t="str">
            <v>IMR26AC</v>
          </cell>
          <cell r="C890" t="str">
            <v>Mutiara Tani, UD/Abdur Rahman</v>
          </cell>
          <cell r="D890" t="str">
            <v>Sumai</v>
          </cell>
          <cell r="E890" t="str">
            <v>Dusun Krajan I, RT.006/ RW.001, Kel. Alasbuluh, Kec. Wongsorejo</v>
          </cell>
          <cell r="F890" t="str">
            <v>Banyuwangi</v>
          </cell>
          <cell r="G890" t="str">
            <v>3510184605660005</v>
          </cell>
          <cell r="H890" t="str">
            <v>000000000000000</v>
          </cell>
          <cell r="J890">
            <v>112064000</v>
          </cell>
          <cell r="K890">
            <v>0</v>
          </cell>
          <cell r="L890">
            <v>112064000</v>
          </cell>
        </row>
        <row r="891">
          <cell r="B891" t="str">
            <v>IMR27AC</v>
          </cell>
          <cell r="C891" t="str">
            <v>Mutiara Tani, UD/Abdur Rahman</v>
          </cell>
          <cell r="D891" t="str">
            <v>Ali Imron</v>
          </cell>
          <cell r="E891" t="str">
            <v>Dusun Karangrejo Utara, RT.002/RW.001, Kel. Wongsorejo, Kec. Wongsorejo</v>
          </cell>
          <cell r="F891" t="str">
            <v>Banyuwangi</v>
          </cell>
          <cell r="G891" t="str">
            <v>3510180103010001</v>
          </cell>
          <cell r="H891" t="str">
            <v>000000000000000</v>
          </cell>
          <cell r="J891">
            <v>123896000</v>
          </cell>
          <cell r="K891">
            <v>0</v>
          </cell>
          <cell r="L891">
            <v>123896000</v>
          </cell>
        </row>
        <row r="892">
          <cell r="B892" t="str">
            <v>IMR29AC</v>
          </cell>
          <cell r="C892" t="str">
            <v>Mutiara Tani, UD/Abdur Rahman</v>
          </cell>
          <cell r="D892" t="str">
            <v>Poniman</v>
          </cell>
          <cell r="E892" t="str">
            <v>Dusun Krajan I, RT.005/ RW.001, Kel. Alasbuluh, Kec. Wongsorejo</v>
          </cell>
          <cell r="F892" t="str">
            <v>Banyuwangi</v>
          </cell>
          <cell r="G892" t="str">
            <v>3510182810850002</v>
          </cell>
          <cell r="H892" t="str">
            <v>000000000000000</v>
          </cell>
          <cell r="J892">
            <v>122168000</v>
          </cell>
          <cell r="K892">
            <v>0</v>
          </cell>
          <cell r="L892">
            <v>122168000</v>
          </cell>
        </row>
        <row r="893">
          <cell r="B893" t="str">
            <v>IMR30AC</v>
          </cell>
          <cell r="C893" t="str">
            <v>Mutiara Tani, UD/Abdur Rahman</v>
          </cell>
          <cell r="D893" t="str">
            <v>Alimakki</v>
          </cell>
          <cell r="E893" t="str">
            <v>Dusun Krajan, RT.008/ RW.002, Kel. Alasbuluh, Kec. Wongsorejo</v>
          </cell>
          <cell r="F893" t="str">
            <v>Banyuwangi</v>
          </cell>
          <cell r="G893" t="str">
            <v>3510180909740002</v>
          </cell>
          <cell r="H893" t="str">
            <v>000000000000000</v>
          </cell>
          <cell r="J893">
            <v>126999999.9999906</v>
          </cell>
          <cell r="K893">
            <v>0</v>
          </cell>
          <cell r="L893">
            <v>126999999.9999906</v>
          </cell>
        </row>
        <row r="894">
          <cell r="B894" t="str">
            <v>IMR31AC</v>
          </cell>
          <cell r="C894" t="str">
            <v>Mutiara Tani, UD/Abdur Rahman</v>
          </cell>
          <cell r="D894" t="str">
            <v>Hanipan</v>
          </cell>
          <cell r="E894" t="str">
            <v>Dusun Possumur, RT.001/RW.005, Kel. Bengkak, Kec. Wongsorejo</v>
          </cell>
          <cell r="F894" t="str">
            <v>Banyuwangi</v>
          </cell>
          <cell r="G894" t="str">
            <v>3510180812740005</v>
          </cell>
          <cell r="H894" t="str">
            <v>000000000000000</v>
          </cell>
          <cell r="J894">
            <v>116576000</v>
          </cell>
          <cell r="K894">
            <v>0</v>
          </cell>
          <cell r="L894">
            <v>116576000</v>
          </cell>
        </row>
        <row r="895">
          <cell r="B895" t="str">
            <v>IMR32AC</v>
          </cell>
          <cell r="C895" t="str">
            <v>Mutiara Tani, UD/Abdur Rahman</v>
          </cell>
          <cell r="D895" t="str">
            <v>Ramelan</v>
          </cell>
          <cell r="E895" t="str">
            <v>Dusun Krajan, RT.003/ RW.002, Kec. Wongsorejo</v>
          </cell>
          <cell r="F895" t="str">
            <v>Banyuwangi</v>
          </cell>
          <cell r="G895" t="str">
            <v>3510180711360002</v>
          </cell>
          <cell r="H895" t="str">
            <v>000000000000000</v>
          </cell>
          <cell r="J895">
            <v>104912000</v>
          </cell>
          <cell r="K895">
            <v>0</v>
          </cell>
          <cell r="L895">
            <v>104912000</v>
          </cell>
        </row>
        <row r="896">
          <cell r="B896" t="str">
            <v>IMR33AC</v>
          </cell>
          <cell r="C896" t="str">
            <v>Mutiara Tani, UD/Abdur Rahman</v>
          </cell>
          <cell r="D896" t="str">
            <v>Tukina</v>
          </cell>
          <cell r="E896" t="str">
            <v>Dusun Karangrejo Utara, RT.005/RW.002, Kel. Wongsorejo, Kec. Wongsorejo</v>
          </cell>
          <cell r="F896" t="str">
            <v>Banyuwangi</v>
          </cell>
          <cell r="G896" t="str">
            <v>3510184107600025</v>
          </cell>
          <cell r="H896" t="str">
            <v>000000000000000</v>
          </cell>
          <cell r="J896">
            <v>101216000</v>
          </cell>
          <cell r="K896">
            <v>0</v>
          </cell>
          <cell r="L896">
            <v>101216000</v>
          </cell>
        </row>
        <row r="897">
          <cell r="B897" t="str">
            <v>IMR34AC</v>
          </cell>
          <cell r="C897" t="str">
            <v>Mutiara Tani, UD/Abdur Rahman</v>
          </cell>
          <cell r="D897" t="str">
            <v>Misnari</v>
          </cell>
          <cell r="E897" t="str">
            <v>Dusun Karangrejo Utara, RT.005/RW.002, Kel. Wongsorejo, Kec. Wongsorejo</v>
          </cell>
          <cell r="F897" t="str">
            <v>Banyuwangi</v>
          </cell>
          <cell r="G897" t="str">
            <v>3510180107530035</v>
          </cell>
          <cell r="H897" t="str">
            <v>000000000000000</v>
          </cell>
          <cell r="J897">
            <v>111328000</v>
          </cell>
          <cell r="K897">
            <v>0</v>
          </cell>
          <cell r="L897">
            <v>111328000</v>
          </cell>
        </row>
        <row r="898">
          <cell r="B898" t="str">
            <v>IMR35AC</v>
          </cell>
          <cell r="C898" t="str">
            <v>Mutiara Tani, UD/Abdur Rahman</v>
          </cell>
          <cell r="D898" t="str">
            <v>Jumahrap</v>
          </cell>
          <cell r="E898" t="str">
            <v>Dusun Krajan II, RT.004/ RW.001, Kel. Alasbuluh, Kec. Wongsorejo</v>
          </cell>
          <cell r="F898" t="str">
            <v>Banyuwangi</v>
          </cell>
          <cell r="G898" t="str">
            <v>3510182208750001</v>
          </cell>
          <cell r="H898" t="str">
            <v>000000000000000</v>
          </cell>
          <cell r="J898">
            <v>105360000</v>
          </cell>
          <cell r="K898">
            <v>0</v>
          </cell>
          <cell r="L898">
            <v>105360000</v>
          </cell>
        </row>
        <row r="899">
          <cell r="B899" t="str">
            <v>IMR36AC</v>
          </cell>
          <cell r="C899" t="str">
            <v>Mutiara Tani, UD/Abdur Rahman</v>
          </cell>
          <cell r="D899" t="str">
            <v>Ponirin</v>
          </cell>
          <cell r="E899" t="str">
            <v>Dusun Krajan I, RT.003/ RW.002, Kel. Alasbuluh, Kec. Wongsorejo</v>
          </cell>
          <cell r="F899" t="str">
            <v>Banyuwangi</v>
          </cell>
          <cell r="G899" t="str">
            <v>3510180204770002</v>
          </cell>
          <cell r="H899" t="str">
            <v>000000000000000</v>
          </cell>
          <cell r="J899">
            <v>103288000</v>
          </cell>
          <cell r="K899">
            <v>0</v>
          </cell>
          <cell r="L899">
            <v>103288000</v>
          </cell>
        </row>
        <row r="900">
          <cell r="B900" t="str">
            <v>IMR37AC</v>
          </cell>
          <cell r="C900" t="str">
            <v>Mutiara Tani, UD/Abdur Rahman</v>
          </cell>
          <cell r="D900" t="str">
            <v>Sahri</v>
          </cell>
          <cell r="E900" t="str">
            <v>Jl. Jendral Sudirman, RT.004/RW.001, Kel. Alasbuluh, Kec. Wongsorejo</v>
          </cell>
          <cell r="F900" t="str">
            <v>Banyuwangi</v>
          </cell>
          <cell r="G900" t="str">
            <v>3510183006780003</v>
          </cell>
          <cell r="H900" t="str">
            <v>000000000000000</v>
          </cell>
          <cell r="J900">
            <v>101192000</v>
          </cell>
          <cell r="K900">
            <v>0</v>
          </cell>
          <cell r="L900">
            <v>101192000</v>
          </cell>
        </row>
        <row r="901">
          <cell r="B901" t="str">
            <v>IMR38AC</v>
          </cell>
          <cell r="C901" t="str">
            <v>Mutiara Tani, UD/Abdur Rahman</v>
          </cell>
          <cell r="D901" t="str">
            <v>Mujiman</v>
          </cell>
          <cell r="E901" t="str">
            <v>Dusun Karangrejo Selatan, RT.006/RW.001, Kel. Wongsorejo, Kec. Wongsorejo</v>
          </cell>
          <cell r="F901" t="str">
            <v>Banyuwangi</v>
          </cell>
          <cell r="G901" t="str">
            <v>3510181703620004</v>
          </cell>
          <cell r="H901" t="str">
            <v>000000000000000</v>
          </cell>
          <cell r="J901">
            <v>101672000</v>
          </cell>
          <cell r="K901">
            <v>0</v>
          </cell>
          <cell r="L901">
            <v>101672000</v>
          </cell>
        </row>
        <row r="902">
          <cell r="B902" t="str">
            <v>IMR39AC</v>
          </cell>
          <cell r="C902" t="str">
            <v>Mutiara Tani, UD/Abdur Rahman</v>
          </cell>
          <cell r="D902" t="str">
            <v>Heriyanto</v>
          </cell>
          <cell r="E902" t="str">
            <v>Dusun Krajan, RT.005/RW.002, Kel. Bengkak, Kec. Wongsorejo</v>
          </cell>
          <cell r="F902" t="str">
            <v>Banyuwangi</v>
          </cell>
          <cell r="G902" t="str">
            <v>3510181005900013</v>
          </cell>
          <cell r="H902" t="str">
            <v>000000000000000</v>
          </cell>
          <cell r="J902">
            <v>111888000</v>
          </cell>
          <cell r="K902">
            <v>0</v>
          </cell>
          <cell r="L902">
            <v>111888000</v>
          </cell>
        </row>
        <row r="903">
          <cell r="B903" t="str">
            <v>IMR40AC</v>
          </cell>
          <cell r="C903" t="str">
            <v>Mutiara Tani, UD/Abdur Rahman</v>
          </cell>
          <cell r="D903" t="str">
            <v>Tolak Iman</v>
          </cell>
          <cell r="E903" t="str">
            <v>Dusun Karangrejo Utara, RT.004/RW.002, Kel. Wongsorejo, Kec. Wongsorejo</v>
          </cell>
          <cell r="F903" t="str">
            <v>Banyuwangi</v>
          </cell>
          <cell r="G903" t="str">
            <v>3510181410930002</v>
          </cell>
          <cell r="H903" t="str">
            <v>000000000000000</v>
          </cell>
          <cell r="J903">
            <v>99763200</v>
          </cell>
          <cell r="K903">
            <v>0</v>
          </cell>
          <cell r="L903">
            <v>99763200</v>
          </cell>
        </row>
        <row r="904">
          <cell r="B904" t="str">
            <v>IMR41AC</v>
          </cell>
          <cell r="C904" t="str">
            <v>Mutiara Tani, UD/Abdur Rahman</v>
          </cell>
          <cell r="D904" t="str">
            <v>Sekarini</v>
          </cell>
          <cell r="E904" t="str">
            <v>Dusun Karangrejo Selatan, RT.006/RW.001, Kel. Wongsorejo, Kec. Wongsorejo</v>
          </cell>
          <cell r="F904" t="str">
            <v>Banyuwangi</v>
          </cell>
          <cell r="G904" t="str">
            <v>3510186107690006</v>
          </cell>
          <cell r="H904" t="str">
            <v>000000000000000</v>
          </cell>
          <cell r="J904">
            <v>101920000</v>
          </cell>
          <cell r="K904">
            <v>0</v>
          </cell>
          <cell r="L904">
            <v>101920000</v>
          </cell>
        </row>
        <row r="905">
          <cell r="B905" t="str">
            <v>IMR42AC</v>
          </cell>
          <cell r="C905" t="str">
            <v>Mutiara Tani, UD/Abdur Rahman</v>
          </cell>
          <cell r="D905" t="str">
            <v>Tasmirah</v>
          </cell>
          <cell r="E905" t="str">
            <v>Dusun Krajan, Kel. Sumberkencono, Kec. Wongsorejo</v>
          </cell>
          <cell r="F905" t="str">
            <v>Banyuwangi</v>
          </cell>
          <cell r="G905" t="str">
            <v>3510184212550006</v>
          </cell>
          <cell r="H905" t="str">
            <v>000000000000000</v>
          </cell>
          <cell r="J905">
            <v>106112000</v>
          </cell>
          <cell r="K905">
            <v>0</v>
          </cell>
          <cell r="L905">
            <v>106112000</v>
          </cell>
        </row>
        <row r="906">
          <cell r="B906" t="str">
            <v>IMR43AC</v>
          </cell>
          <cell r="C906" t="str">
            <v>Mutiara Tani, UD/Abdur Rahman</v>
          </cell>
          <cell r="D906" t="str">
            <v>Misna</v>
          </cell>
          <cell r="E906" t="str">
            <v>Krajan I, RT.005/RW.001, Kel. Alasbuluh, Kec. Wongsorejo</v>
          </cell>
          <cell r="F906" t="str">
            <v>Banyuwangi</v>
          </cell>
          <cell r="G906" t="str">
            <v>3510184101550008</v>
          </cell>
          <cell r="H906" t="str">
            <v>000000000000000</v>
          </cell>
          <cell r="J906">
            <v>96560000</v>
          </cell>
          <cell r="K906">
            <v>0</v>
          </cell>
          <cell r="L906">
            <v>96560000</v>
          </cell>
        </row>
        <row r="907">
          <cell r="B907" t="str">
            <v>IMR44AC</v>
          </cell>
          <cell r="C907" t="str">
            <v>Mutiara Tani, UD/Abdur Rahman</v>
          </cell>
          <cell r="D907" t="str">
            <v>Samsul Arifin</v>
          </cell>
          <cell r="E907" t="str">
            <v>Dusun Krajan II, RT.008/RW.001, Kel. Alasbuluh, Kec. Wongsorejo</v>
          </cell>
          <cell r="F907" t="str">
            <v>Banyuwangi</v>
          </cell>
          <cell r="G907" t="str">
            <v>3510182107810006</v>
          </cell>
          <cell r="H907" t="str">
            <v>000000000000000</v>
          </cell>
          <cell r="J907">
            <v>80384000</v>
          </cell>
          <cell r="K907">
            <v>0</v>
          </cell>
          <cell r="L907">
            <v>80384000</v>
          </cell>
        </row>
        <row r="908">
          <cell r="B908" t="str">
            <v>IMR45AC</v>
          </cell>
          <cell r="C908" t="str">
            <v>Mutiara Tani, UD/Abdur Rahman</v>
          </cell>
          <cell r="D908" t="str">
            <v>Atim Rahman</v>
          </cell>
          <cell r="E908" t="str">
            <v>Dusun Krajan I, RT.011/RW.001, Kel. Alasbuluh, Kec. Wongsorejo</v>
          </cell>
          <cell r="F908" t="str">
            <v>Banyuwangi</v>
          </cell>
          <cell r="G908" t="str">
            <v>3510180505850015</v>
          </cell>
          <cell r="H908" t="str">
            <v>000000000000000</v>
          </cell>
          <cell r="J908">
            <v>97079999.999840006</v>
          </cell>
          <cell r="K908">
            <v>0</v>
          </cell>
          <cell r="L908">
            <v>97079999.999840006</v>
          </cell>
        </row>
        <row r="909">
          <cell r="B909" t="str">
            <v>IMR46AC</v>
          </cell>
          <cell r="C909" t="str">
            <v>Mutiara Tani, UD/Abdur Rahman</v>
          </cell>
          <cell r="D909" t="str">
            <v>Ismail</v>
          </cell>
          <cell r="E909" t="str">
            <v>Dusun Krajan, RT.004/RW.005, Kel. Wongsorejo, Kec. Wongsorejo</v>
          </cell>
          <cell r="F909" t="str">
            <v>Banyuwangi</v>
          </cell>
          <cell r="G909" t="str">
            <v>3510181404640004</v>
          </cell>
          <cell r="H909" t="str">
            <v>000000000000000</v>
          </cell>
          <cell r="J909">
            <v>99088000</v>
          </cell>
          <cell r="K909">
            <v>0</v>
          </cell>
          <cell r="L909">
            <v>99088000</v>
          </cell>
        </row>
        <row r="910">
          <cell r="B910" t="str">
            <v>IMR47AC</v>
          </cell>
          <cell r="C910" t="str">
            <v>Mutiara Tani, UD/Abdur Rahman</v>
          </cell>
          <cell r="D910" t="str">
            <v>Tolak Amin</v>
          </cell>
          <cell r="E910" t="str">
            <v>Dusun Krajan, RT.006/RW.002, Kel. Bengkak, Kec. Wongsorejo</v>
          </cell>
          <cell r="F910" t="str">
            <v>Banyuwangi</v>
          </cell>
          <cell r="G910" t="str">
            <v>3510181610950003</v>
          </cell>
          <cell r="H910" t="str">
            <v>000000000000000</v>
          </cell>
          <cell r="J910">
            <v>98208000</v>
          </cell>
          <cell r="K910">
            <v>0</v>
          </cell>
          <cell r="L910">
            <v>98208000</v>
          </cell>
        </row>
        <row r="911">
          <cell r="B911" t="str">
            <v>IMR48AC</v>
          </cell>
          <cell r="C911" t="str">
            <v>Mutiara Tani, UD/Abdur Rahman</v>
          </cell>
          <cell r="D911" t="str">
            <v>M. Siroyuddin</v>
          </cell>
          <cell r="E911" t="str">
            <v>Dusun Krajan II, RT.014/RW.001, Kel. Alasbuluh, Kec. Wongsorejo</v>
          </cell>
          <cell r="F911" t="str">
            <v>Banyuwangi</v>
          </cell>
          <cell r="G911" t="str">
            <v>3511150101930008</v>
          </cell>
          <cell r="H911" t="str">
            <v>000000000000000</v>
          </cell>
          <cell r="J911">
            <v>116000000</v>
          </cell>
          <cell r="K911">
            <v>0</v>
          </cell>
          <cell r="L911">
            <v>116000000</v>
          </cell>
        </row>
        <row r="912">
          <cell r="B912" t="str">
            <v>IMR49AC</v>
          </cell>
          <cell r="C912" t="str">
            <v>Mutiara Tani, UD/Abdur Rahman</v>
          </cell>
          <cell r="D912" t="str">
            <v>Rusdi</v>
          </cell>
          <cell r="E912" t="str">
            <v>Dusun Possumur, RT.001/RW.005, Kel. Bengkak, Kec. Wongsorejo</v>
          </cell>
          <cell r="F912" t="str">
            <v>Banyuwangi</v>
          </cell>
          <cell r="G912" t="str">
            <v>3510182407790003</v>
          </cell>
          <cell r="H912" t="str">
            <v>000000000000000</v>
          </cell>
          <cell r="J912">
            <v>96960000</v>
          </cell>
          <cell r="K912">
            <v>0</v>
          </cell>
          <cell r="L912">
            <v>96960000</v>
          </cell>
        </row>
        <row r="913">
          <cell r="B913" t="str">
            <v>IMR50AC</v>
          </cell>
          <cell r="C913" t="str">
            <v>Mutiara Tani, UD/Abdur Rahman</v>
          </cell>
          <cell r="D913" t="str">
            <v>Heriyanto</v>
          </cell>
          <cell r="E913" t="str">
            <v>Dusun Krajan II, RT.012/RW.001, Kel. Alasbuluh, Kec. Wongsorejo</v>
          </cell>
          <cell r="F913" t="str">
            <v>Banyuwangi</v>
          </cell>
          <cell r="G913" t="str">
            <v>3510180612810001</v>
          </cell>
          <cell r="H913" t="str">
            <v>000000000000000</v>
          </cell>
          <cell r="J913">
            <v>115040000</v>
          </cell>
          <cell r="K913">
            <v>0</v>
          </cell>
          <cell r="L913">
            <v>115040000</v>
          </cell>
        </row>
        <row r="914">
          <cell r="B914" t="str">
            <v>IMR52AC</v>
          </cell>
          <cell r="C914" t="str">
            <v>Mutiara Tani, UD/Abdur Rahman</v>
          </cell>
          <cell r="D914" t="str">
            <v>Supiyati</v>
          </cell>
          <cell r="E914" t="str">
            <v>Dusun Krajan II, RT.009/RW.001, Kel. Alasbuluh, Kec. Wongsorejo</v>
          </cell>
          <cell r="F914" t="str">
            <v>Banyuwangi</v>
          </cell>
          <cell r="G914" t="str">
            <v>3510185709500003</v>
          </cell>
          <cell r="H914" t="str">
            <v>000000000000000</v>
          </cell>
          <cell r="J914">
            <v>100224000</v>
          </cell>
          <cell r="K914">
            <v>0</v>
          </cell>
          <cell r="L914">
            <v>100224000</v>
          </cell>
        </row>
        <row r="915">
          <cell r="B915" t="str">
            <v>IMR53AC</v>
          </cell>
          <cell r="C915" t="str">
            <v>Mutiara Tani, UD/Abdur Rahman</v>
          </cell>
          <cell r="D915" t="str">
            <v>A Baidowi</v>
          </cell>
          <cell r="E915" t="str">
            <v>Dusun Krajan I, RT.002/RW.002, Kel. Alasbuluh, Kec. Wongsorejo</v>
          </cell>
          <cell r="F915" t="str">
            <v>Banyuwangi</v>
          </cell>
          <cell r="G915" t="str">
            <v>3510180506720007</v>
          </cell>
          <cell r="H915" t="str">
            <v>000000000000000</v>
          </cell>
          <cell r="J915">
            <v>91408000</v>
          </cell>
          <cell r="K915">
            <v>0</v>
          </cell>
          <cell r="L915">
            <v>91408000</v>
          </cell>
        </row>
        <row r="916">
          <cell r="B916" t="str">
            <v>IMR55AC</v>
          </cell>
          <cell r="C916" t="str">
            <v>Mutiara Tani, UD/Abdur Rahman</v>
          </cell>
          <cell r="D916" t="str">
            <v>Bayu Andira</v>
          </cell>
          <cell r="E916" t="str">
            <v>Dusun Karangrejo Selatan RT.005/RW.002 , Kel. Wongsorejo Kec. Wongsorejo</v>
          </cell>
          <cell r="F916" t="str">
            <v>Banyuwangi</v>
          </cell>
          <cell r="G916" t="str">
            <v>3510182601060005</v>
          </cell>
          <cell r="H916" t="str">
            <v>000000000000000</v>
          </cell>
          <cell r="J916">
            <v>130720000</v>
          </cell>
          <cell r="K916">
            <v>0</v>
          </cell>
          <cell r="L916">
            <v>130720000</v>
          </cell>
        </row>
        <row r="917">
          <cell r="B917" t="str">
            <v>IMR56AC</v>
          </cell>
          <cell r="C917" t="str">
            <v>Mutiara Tani, UD/Abdur Rahman</v>
          </cell>
          <cell r="D917" t="str">
            <v>Fitriyani</v>
          </cell>
          <cell r="E917" t="str">
            <v>Dusun Karang Baru RT.009/RW.004 , Kel. Alasbuluh Kec. Wongsorejo</v>
          </cell>
          <cell r="F917" t="str">
            <v>Banyuwangi</v>
          </cell>
          <cell r="G917" t="str">
            <v>3510185705860002</v>
          </cell>
          <cell r="H917" t="str">
            <v>000000000000000</v>
          </cell>
          <cell r="J917">
            <v>122348000</v>
          </cell>
          <cell r="K917">
            <v>0</v>
          </cell>
          <cell r="L917">
            <v>122348000</v>
          </cell>
        </row>
        <row r="918">
          <cell r="B918" t="str">
            <v>IMR57AC</v>
          </cell>
          <cell r="C918" t="str">
            <v>Mutiara Tani, UD/Abdur Rahman</v>
          </cell>
          <cell r="D918" t="str">
            <v>Hendra Luki</v>
          </cell>
          <cell r="E918" t="str">
            <v>Dusun Krajan RT.003/RW.001 , Kel. Wongsorejo Kec. Wongsorejo</v>
          </cell>
          <cell r="F918" t="str">
            <v>Banyuwangi</v>
          </cell>
          <cell r="G918" t="str">
            <v>3510181705950001</v>
          </cell>
          <cell r="H918" t="str">
            <v>000000000000000</v>
          </cell>
          <cell r="J918">
            <v>101360000</v>
          </cell>
          <cell r="K918">
            <v>0</v>
          </cell>
          <cell r="L918">
            <v>101360000</v>
          </cell>
        </row>
        <row r="919">
          <cell r="B919" t="str">
            <v>IMR58AC</v>
          </cell>
          <cell r="C919" t="str">
            <v>Mutiara Tani, UD/Abdur Rahman</v>
          </cell>
          <cell r="D919" t="str">
            <v>Miswati</v>
          </cell>
          <cell r="E919" t="str">
            <v>Dusun Karangrejo Selatan, RT.001/RW.001 , Kel. Wongsorejo Kec. Wongsorejo</v>
          </cell>
          <cell r="F919" t="str">
            <v>Banyuwangi</v>
          </cell>
          <cell r="G919" t="str">
            <v>3510185203810001</v>
          </cell>
          <cell r="H919" t="str">
            <v>000000000000000</v>
          </cell>
          <cell r="J919">
            <v>102608000</v>
          </cell>
          <cell r="K919">
            <v>0</v>
          </cell>
          <cell r="L919">
            <v>102608000</v>
          </cell>
        </row>
        <row r="920">
          <cell r="B920" t="str">
            <v>IMR59AC</v>
          </cell>
          <cell r="C920" t="str">
            <v>Mutiara Tani, UD/Abdur Rahman</v>
          </cell>
          <cell r="D920" t="str">
            <v>Mohammad Nuril Ikhsan</v>
          </cell>
          <cell r="E920" t="str">
            <v>Karangrejo Selatan, RT.004/RW.001 , Kel. Wongsorejo, Kec Wongsorejo</v>
          </cell>
          <cell r="F920" t="str">
            <v>Banyuwangi</v>
          </cell>
          <cell r="G920" t="str">
            <v>3510181312960001</v>
          </cell>
          <cell r="H920" t="str">
            <v>000000000000000</v>
          </cell>
          <cell r="J920">
            <v>118160000</v>
          </cell>
          <cell r="K920">
            <v>0</v>
          </cell>
          <cell r="L920">
            <v>118160000</v>
          </cell>
        </row>
        <row r="921">
          <cell r="B921" t="str">
            <v>IMR60AC</v>
          </cell>
          <cell r="C921" t="str">
            <v>Mutiara Tani, UD/Abdur Rahman</v>
          </cell>
          <cell r="D921" t="str">
            <v>Muhammad Arif</v>
          </cell>
          <cell r="E921" t="str">
            <v>Dusun Karang Baru RT.007/RW.001 , Kel. Alasbuluh Kec. Wongsorejo</v>
          </cell>
          <cell r="F921" t="str">
            <v>Banyuwangi</v>
          </cell>
          <cell r="G921" t="str">
            <v>3510180612960006</v>
          </cell>
          <cell r="H921" t="str">
            <v>000000000000000</v>
          </cell>
          <cell r="J921">
            <v>104704000</v>
          </cell>
          <cell r="K921">
            <v>0</v>
          </cell>
          <cell r="L921">
            <v>104704000</v>
          </cell>
        </row>
        <row r="922">
          <cell r="B922" t="str">
            <v>IMR61AC</v>
          </cell>
          <cell r="C922" t="str">
            <v>Mutiara Tani, UD/Abdur Rahman</v>
          </cell>
          <cell r="D922" t="str">
            <v>Siti Saidah Khotijah</v>
          </cell>
          <cell r="E922" t="str">
            <v>Dusun Karang Baru RT.009/RW.001 , Kel. Alasbuluh Kec. Wongsorejo</v>
          </cell>
          <cell r="F922" t="str">
            <v>Banyuwangi</v>
          </cell>
          <cell r="G922" t="str">
            <v>3510184101040012</v>
          </cell>
          <cell r="H922" t="str">
            <v>000000000000000</v>
          </cell>
          <cell r="J922">
            <v>91936000</v>
          </cell>
          <cell r="K922">
            <v>0</v>
          </cell>
          <cell r="L922">
            <v>91936000</v>
          </cell>
        </row>
        <row r="923">
          <cell r="B923" t="str">
            <v>IMR62AC</v>
          </cell>
          <cell r="C923" t="str">
            <v>Mutiara Tani, UD/Abdur Rahman</v>
          </cell>
          <cell r="D923" t="str">
            <v>Yanuar tri Hartono</v>
          </cell>
          <cell r="E923" t="str">
            <v>Dusun Karangrejo Selatan RT.006/RW.001 , Kel. Karangrejo, Kec. Karangrejo</v>
          </cell>
          <cell r="F923" t="str">
            <v>Banyuwangi</v>
          </cell>
          <cell r="G923" t="str">
            <v>3509201001950005</v>
          </cell>
          <cell r="H923" t="str">
            <v>000000000000000</v>
          </cell>
          <cell r="J923">
            <v>95612000</v>
          </cell>
          <cell r="K923">
            <v>0</v>
          </cell>
          <cell r="L923">
            <v>95612000</v>
          </cell>
        </row>
        <row r="924">
          <cell r="B924" t="str">
            <v>IMR63AC</v>
          </cell>
          <cell r="C924" t="str">
            <v>Mutiara Tani, UD/Abdur Rahman</v>
          </cell>
          <cell r="D924" t="str">
            <v>Yono Susilo</v>
          </cell>
          <cell r="E924" t="str">
            <v>Karangrejo Selatan, RT.004/RW.001 , Kel. Wongsorejo, Kec Wongsorejo</v>
          </cell>
          <cell r="F924" t="str">
            <v>Banyuwangi</v>
          </cell>
          <cell r="G924" t="str">
            <v>3510183003850001</v>
          </cell>
          <cell r="H924" t="str">
            <v>000000000000000</v>
          </cell>
          <cell r="J924">
            <v>100432000</v>
          </cell>
          <cell r="K924">
            <v>0</v>
          </cell>
          <cell r="L924">
            <v>100432000</v>
          </cell>
        </row>
        <row r="925">
          <cell r="B925" t="str">
            <v>AIN04AC</v>
          </cell>
          <cell r="C925" t="str">
            <v>Nuansa Tani</v>
          </cell>
          <cell r="D925" t="str">
            <v>Jemirah</v>
          </cell>
          <cell r="E925" t="str">
            <v>Dukuh Menggeng, Ds. Gelang Lor, Kec. Sukorejo</v>
          </cell>
          <cell r="F925" t="str">
            <v>Ponorogo</v>
          </cell>
          <cell r="G925" t="str">
            <v>3502155807530001</v>
          </cell>
          <cell r="H925" t="str">
            <v>000000000000000</v>
          </cell>
          <cell r="I925" t="str">
            <v>nota T u/ Benih Jagung tdk pajak (acak) &amp; untuk Obat , Sayuran, Jagung Janger Pajak</v>
          </cell>
          <cell r="J925">
            <v>59512000</v>
          </cell>
          <cell r="K925">
            <v>0</v>
          </cell>
          <cell r="L925">
            <v>59512000</v>
          </cell>
        </row>
        <row r="926">
          <cell r="B926" t="str">
            <v>AIN06AC</v>
          </cell>
          <cell r="C926" t="str">
            <v>Nuansa Tani</v>
          </cell>
          <cell r="D926" t="str">
            <v>Sukarjianto</v>
          </cell>
          <cell r="E926" t="str">
            <v>Dukuh Menggeng, Ds. Gelang Lor, Kec. Sukorejo</v>
          </cell>
          <cell r="F926" t="str">
            <v>Ponorogo</v>
          </cell>
          <cell r="G926" t="str">
            <v>3502150912810003</v>
          </cell>
          <cell r="H926" t="str">
            <v>000000000000000</v>
          </cell>
          <cell r="J926">
            <v>62096000</v>
          </cell>
          <cell r="K926">
            <v>0</v>
          </cell>
          <cell r="L926">
            <v>62096000</v>
          </cell>
        </row>
        <row r="927">
          <cell r="B927" t="str">
            <v>AIN07AC</v>
          </cell>
          <cell r="C927" t="str">
            <v>Nuansa Tani</v>
          </cell>
          <cell r="D927" t="str">
            <v>Kimun</v>
          </cell>
          <cell r="E927" t="str">
            <v>Dukuh Menggeng, Ds. Gelang Lor, Kec. Sukorejo</v>
          </cell>
          <cell r="F927" t="str">
            <v>Ponorogo</v>
          </cell>
          <cell r="G927" t="str">
            <v>3502152110490001</v>
          </cell>
          <cell r="H927" t="str">
            <v>000000000000000</v>
          </cell>
          <cell r="J927">
            <v>45300000</v>
          </cell>
          <cell r="K927">
            <v>0</v>
          </cell>
          <cell r="L927">
            <v>45300000</v>
          </cell>
        </row>
        <row r="928">
          <cell r="B928" t="str">
            <v>AIN08AC</v>
          </cell>
          <cell r="C928" t="str">
            <v>Nuansa Tani</v>
          </cell>
          <cell r="D928" t="str">
            <v>Ruwig</v>
          </cell>
          <cell r="E928" t="str">
            <v>Dukuh Menggeng, Ds. Gelang Lor, Kec. Sukorejo</v>
          </cell>
          <cell r="F928" t="str">
            <v>Ponorogo</v>
          </cell>
          <cell r="G928" t="str">
            <v>3502155507300001</v>
          </cell>
          <cell r="H928" t="str">
            <v>000000000000000</v>
          </cell>
          <cell r="J928">
            <v>44008000</v>
          </cell>
          <cell r="K928">
            <v>0</v>
          </cell>
          <cell r="L928">
            <v>44008000</v>
          </cell>
        </row>
        <row r="929">
          <cell r="B929" t="str">
            <v>AIN09AC</v>
          </cell>
          <cell r="C929" t="str">
            <v>Nuansa Tani</v>
          </cell>
          <cell r="D929" t="str">
            <v>Kartini</v>
          </cell>
          <cell r="E929" t="str">
            <v>Dukuh Menggeng, Ds. Gelang Lor, Kec. Sukorejo</v>
          </cell>
          <cell r="F929" t="str">
            <v>Ponorogo</v>
          </cell>
          <cell r="G929" t="str">
            <v>3502155709620001</v>
          </cell>
          <cell r="H929" t="str">
            <v>000000000000000</v>
          </cell>
          <cell r="J929">
            <v>59512000</v>
          </cell>
          <cell r="K929">
            <v>0</v>
          </cell>
          <cell r="L929">
            <v>59512000</v>
          </cell>
        </row>
        <row r="930">
          <cell r="B930" t="str">
            <v>AIN10AC</v>
          </cell>
          <cell r="C930" t="str">
            <v>Nuansa Tani</v>
          </cell>
          <cell r="D930" t="str">
            <v>Eni Susanti</v>
          </cell>
          <cell r="E930" t="str">
            <v>Dukuh Menggeng, Ds. Gelang Lor, Kec. Sukorejo</v>
          </cell>
          <cell r="F930" t="str">
            <v>Ponorogo</v>
          </cell>
          <cell r="G930" t="str">
            <v>3502154601850003</v>
          </cell>
          <cell r="H930" t="str">
            <v>000000000000000</v>
          </cell>
          <cell r="J930">
            <v>60804000</v>
          </cell>
          <cell r="K930">
            <v>0</v>
          </cell>
          <cell r="L930">
            <v>60804000</v>
          </cell>
        </row>
        <row r="931">
          <cell r="B931" t="str">
            <v>AIN11AC</v>
          </cell>
          <cell r="C931" t="str">
            <v>Nuansa Tani</v>
          </cell>
          <cell r="D931" t="str">
            <v>Misman</v>
          </cell>
          <cell r="E931" t="str">
            <v>Dukuh Menggeng, Ds. Gelang Lor, Kec. Sukorejo</v>
          </cell>
          <cell r="F931" t="str">
            <v>Ponorogo</v>
          </cell>
          <cell r="G931" t="str">
            <v>3502153006490085</v>
          </cell>
          <cell r="H931" t="str">
            <v>000000000000000</v>
          </cell>
          <cell r="J931">
            <v>62096000</v>
          </cell>
          <cell r="K931">
            <v>0</v>
          </cell>
          <cell r="L931">
            <v>62096000</v>
          </cell>
        </row>
        <row r="932">
          <cell r="B932" t="str">
            <v>AIN13AC</v>
          </cell>
          <cell r="C932" t="str">
            <v>Nuansa Tani</v>
          </cell>
          <cell r="D932" t="str">
            <v>Tukimun</v>
          </cell>
          <cell r="E932" t="str">
            <v>Dukuh Menggeng, Ds. Gelang Lor, Kec. Sukorejo</v>
          </cell>
          <cell r="F932" t="str">
            <v>Ponorogo</v>
          </cell>
          <cell r="G932" t="str">
            <v>3502151010670004</v>
          </cell>
          <cell r="H932" t="str">
            <v>000000000000000</v>
          </cell>
          <cell r="J932">
            <v>77600000</v>
          </cell>
          <cell r="K932">
            <v>0</v>
          </cell>
          <cell r="L932">
            <v>77600000</v>
          </cell>
        </row>
        <row r="933">
          <cell r="B933" t="str">
            <v>AIN14AC</v>
          </cell>
          <cell r="C933" t="str">
            <v>Nuansa Tani</v>
          </cell>
          <cell r="D933" t="str">
            <v>Eko Purwanto</v>
          </cell>
          <cell r="E933" t="str">
            <v>Dukuh Menggeng, Ds. Gelang Lor, Kec. Sukorejo</v>
          </cell>
          <cell r="F933" t="str">
            <v>Ponorogo</v>
          </cell>
          <cell r="G933" t="str">
            <v>3502151506890001</v>
          </cell>
          <cell r="H933" t="str">
            <v>000000000000000</v>
          </cell>
          <cell r="J933">
            <v>64680000</v>
          </cell>
          <cell r="K933">
            <v>0</v>
          </cell>
          <cell r="L933">
            <v>64680000</v>
          </cell>
        </row>
        <row r="934">
          <cell r="B934" t="str">
            <v>AIN15AC</v>
          </cell>
          <cell r="C934" t="str">
            <v>Nuansa Tani</v>
          </cell>
          <cell r="D934" t="str">
            <v>Suratemi</v>
          </cell>
          <cell r="E934" t="str">
            <v>Dukuh Menggeng, Ds. Gelang Lor, Kec. Sukorejo</v>
          </cell>
          <cell r="F934" t="str">
            <v>Ponorogo</v>
          </cell>
          <cell r="G934" t="str">
            <v>3502157006680137</v>
          </cell>
          <cell r="H934" t="str">
            <v>000000000000000</v>
          </cell>
          <cell r="J934">
            <v>63388000</v>
          </cell>
          <cell r="K934">
            <v>0</v>
          </cell>
          <cell r="L934">
            <v>63388000</v>
          </cell>
        </row>
        <row r="935">
          <cell r="B935" t="str">
            <v>AIN16AC</v>
          </cell>
          <cell r="C935" t="str">
            <v>Nuansa Tani</v>
          </cell>
          <cell r="D935" t="str">
            <v>Japar</v>
          </cell>
          <cell r="E935" t="str">
            <v>Dukuh Menggeng, Ds. Gelang Lor, Kec. Sukorejo</v>
          </cell>
          <cell r="F935" t="str">
            <v>Ponorogo</v>
          </cell>
          <cell r="G935" t="str">
            <v>3502153006520118</v>
          </cell>
          <cell r="H935" t="str">
            <v>000000000000000</v>
          </cell>
          <cell r="J935">
            <v>45300000</v>
          </cell>
          <cell r="K935">
            <v>0</v>
          </cell>
          <cell r="L935">
            <v>45300000</v>
          </cell>
        </row>
        <row r="936">
          <cell r="B936" t="str">
            <v>AIN17AC</v>
          </cell>
          <cell r="C936" t="str">
            <v>Nuansa Tani</v>
          </cell>
          <cell r="D936" t="str">
            <v>Partin</v>
          </cell>
          <cell r="E936" t="str">
            <v>Dukuh Menggeng, Ds. Gelang Lor, Kec. Sukorejo</v>
          </cell>
          <cell r="F936" t="str">
            <v>Ponorogo</v>
          </cell>
          <cell r="G936" t="str">
            <v>3502155807590001</v>
          </cell>
          <cell r="H936" t="str">
            <v>000000000000000</v>
          </cell>
          <cell r="J936">
            <v>64680000</v>
          </cell>
          <cell r="K936">
            <v>0</v>
          </cell>
          <cell r="L936">
            <v>64680000</v>
          </cell>
        </row>
        <row r="937">
          <cell r="B937" t="str">
            <v>AIN18AC</v>
          </cell>
          <cell r="C937" t="str">
            <v>Nuansa Tani</v>
          </cell>
          <cell r="D937" t="str">
            <v>Sumirin</v>
          </cell>
          <cell r="E937" t="str">
            <v>Dukuh Menggeng, Ds. Gelang Lor, Kec. Sukorejo</v>
          </cell>
          <cell r="F937" t="str">
            <v>Ponorogo</v>
          </cell>
          <cell r="G937" t="str">
            <v>3502150904760008</v>
          </cell>
          <cell r="H937" t="str">
            <v>000000000000000</v>
          </cell>
          <cell r="J937">
            <v>89024000</v>
          </cell>
          <cell r="K937">
            <v>0</v>
          </cell>
          <cell r="L937">
            <v>89024000</v>
          </cell>
        </row>
        <row r="938">
          <cell r="B938" t="str">
            <v>AIN22AC</v>
          </cell>
          <cell r="C938" t="str">
            <v>Nuansa Tani</v>
          </cell>
          <cell r="D938" t="str">
            <v>Hj. Misratin</v>
          </cell>
          <cell r="E938" t="str">
            <v>Dukuh Menggeng, Ds. Gelang Lor, Kec. Sukorejo</v>
          </cell>
          <cell r="F938" t="str">
            <v>Ponorogo</v>
          </cell>
          <cell r="G938" t="str">
            <v>3502157006570143</v>
          </cell>
          <cell r="H938" t="str">
            <v>000000000000000</v>
          </cell>
          <cell r="J938">
            <v>89024000</v>
          </cell>
          <cell r="K938">
            <v>0</v>
          </cell>
          <cell r="L938">
            <v>89024000</v>
          </cell>
        </row>
        <row r="939">
          <cell r="B939" t="str">
            <v>AIN23AC</v>
          </cell>
          <cell r="C939" t="str">
            <v>Nuansa Tani</v>
          </cell>
          <cell r="D939" t="str">
            <v>Sunarto</v>
          </cell>
          <cell r="E939" t="str">
            <v>Dukuh Menggeng, Ds. Gelang Lor, Kec. Sukorejo</v>
          </cell>
          <cell r="F939" t="str">
            <v>Ponorogo</v>
          </cell>
          <cell r="G939" t="str">
            <v>3502132112740001</v>
          </cell>
          <cell r="H939" t="str">
            <v>000000000000000</v>
          </cell>
          <cell r="J939">
            <v>89024000</v>
          </cell>
          <cell r="K939">
            <v>0</v>
          </cell>
          <cell r="L939">
            <v>89024000</v>
          </cell>
        </row>
        <row r="940">
          <cell r="B940" t="str">
            <v>AIN24AC</v>
          </cell>
          <cell r="C940" t="str">
            <v>Nuansa Tani</v>
          </cell>
          <cell r="D940" t="str">
            <v>Sri Handayani</v>
          </cell>
          <cell r="E940" t="str">
            <v>Dukuh Menggeng, Ds. Gelang Lor, Kec. Sukorejo</v>
          </cell>
          <cell r="F940" t="str">
            <v>Ponorogo</v>
          </cell>
          <cell r="G940" t="str">
            <v>3502154405780005</v>
          </cell>
          <cell r="H940" t="str">
            <v>000000000000000</v>
          </cell>
          <cell r="J940">
            <v>85136000</v>
          </cell>
          <cell r="K940">
            <v>0</v>
          </cell>
          <cell r="L940">
            <v>85136000</v>
          </cell>
        </row>
        <row r="941">
          <cell r="B941" t="str">
            <v>AIN25AC</v>
          </cell>
          <cell r="C941" t="str">
            <v>Nuansa Tani</v>
          </cell>
          <cell r="D941" t="str">
            <v>Yoyok Hariyanto</v>
          </cell>
          <cell r="E941" t="str">
            <v>Dukuh Menggeng, Ds. Gelang Lor, Kec. Sukorejo</v>
          </cell>
          <cell r="F941" t="str">
            <v>Ponorogo</v>
          </cell>
          <cell r="G941" t="str">
            <v>3502152307870002</v>
          </cell>
          <cell r="H941" t="str">
            <v>000000000000000</v>
          </cell>
          <cell r="J941">
            <v>83840000</v>
          </cell>
          <cell r="K941">
            <v>0</v>
          </cell>
          <cell r="L941">
            <v>83840000</v>
          </cell>
        </row>
        <row r="942">
          <cell r="B942" t="str">
            <v>AIN26AC</v>
          </cell>
          <cell r="C942" t="str">
            <v>Nuansa Tani</v>
          </cell>
          <cell r="D942" t="str">
            <v>Winda Agustina</v>
          </cell>
          <cell r="E942" t="str">
            <v>Dukuh Menggeng, Ds. Gelang Lor, Kec. Sukorejo</v>
          </cell>
          <cell r="F942" t="str">
            <v>Ponorogo</v>
          </cell>
          <cell r="G942" t="str">
            <v>3502156008870001</v>
          </cell>
          <cell r="H942" t="str">
            <v>000000000000000</v>
          </cell>
          <cell r="J942">
            <v>78676000</v>
          </cell>
          <cell r="K942">
            <v>0</v>
          </cell>
          <cell r="L942">
            <v>78676000</v>
          </cell>
        </row>
        <row r="943">
          <cell r="B943" t="str">
            <v>AIN27AC</v>
          </cell>
          <cell r="C943" t="str">
            <v>Nuansa Tani</v>
          </cell>
          <cell r="D943" t="str">
            <v>Hasim</v>
          </cell>
          <cell r="E943" t="str">
            <v>Dukuh Menggeng, Ds. Gelang Lor, Kec. Sukorejo</v>
          </cell>
          <cell r="F943" t="str">
            <v>Ponorogo</v>
          </cell>
          <cell r="G943" t="str">
            <v>3502150111780002</v>
          </cell>
          <cell r="H943" t="str">
            <v>000000000000000</v>
          </cell>
          <cell r="J943">
            <v>78680000</v>
          </cell>
          <cell r="K943">
            <v>0</v>
          </cell>
          <cell r="L943">
            <v>78680000</v>
          </cell>
        </row>
        <row r="944">
          <cell r="B944" t="str">
            <v>AIN28AC</v>
          </cell>
          <cell r="C944" t="str">
            <v>Nuansa Tani</v>
          </cell>
          <cell r="D944" t="str">
            <v>Eko Wahyudi</v>
          </cell>
          <cell r="E944" t="str">
            <v>Desa Ngrogung, Kec. Ngabel</v>
          </cell>
          <cell r="F944" t="str">
            <v>Ponorogo</v>
          </cell>
          <cell r="G944" t="str">
            <v>3502190710850003</v>
          </cell>
          <cell r="H944" t="str">
            <v>000000000000000</v>
          </cell>
          <cell r="J944">
            <v>68272000</v>
          </cell>
          <cell r="K944">
            <v>0</v>
          </cell>
          <cell r="L944">
            <v>68272000</v>
          </cell>
        </row>
        <row r="945">
          <cell r="B945" t="str">
            <v>AIN29AC</v>
          </cell>
          <cell r="C945" t="str">
            <v>Nuansa Tani</v>
          </cell>
          <cell r="D945" t="str">
            <v>Marnianto</v>
          </cell>
          <cell r="E945" t="str">
            <v>Desa Sahang, Kec. Ngebel</v>
          </cell>
          <cell r="F945" t="str">
            <v>Ponorogo</v>
          </cell>
          <cell r="G945" t="str">
            <v>3502191002600002</v>
          </cell>
          <cell r="H945" t="str">
            <v>000000000000000</v>
          </cell>
          <cell r="J945">
            <v>74792000</v>
          </cell>
          <cell r="K945">
            <v>0</v>
          </cell>
          <cell r="L945">
            <v>74792000</v>
          </cell>
        </row>
        <row r="946">
          <cell r="B946" t="str">
            <v>AIN30AC</v>
          </cell>
          <cell r="C946" t="str">
            <v>Nuansa Tani</v>
          </cell>
          <cell r="D946" t="str">
            <v>Rini Isnawati</v>
          </cell>
          <cell r="E946" t="str">
            <v>Desa Wagir Lor, Kec. Ngebel</v>
          </cell>
          <cell r="F946" t="str">
            <v>Ponorogo</v>
          </cell>
          <cell r="G946" t="str">
            <v>3502194706830002</v>
          </cell>
          <cell r="H946" t="str">
            <v>000000000000000</v>
          </cell>
          <cell r="J946">
            <v>85140000</v>
          </cell>
          <cell r="K946">
            <v>0</v>
          </cell>
          <cell r="L946">
            <v>85140000</v>
          </cell>
        </row>
        <row r="947">
          <cell r="B947" t="str">
            <v>AIN31AC</v>
          </cell>
          <cell r="C947" t="str">
            <v>Nuansa Tani</v>
          </cell>
          <cell r="D947" t="str">
            <v>Parti</v>
          </cell>
          <cell r="E947" t="str">
            <v>Desa Ngrogung, Kec. Ngabel</v>
          </cell>
          <cell r="F947" t="str">
            <v>Ponorogo</v>
          </cell>
          <cell r="G947" t="str">
            <v>3502194609390001</v>
          </cell>
          <cell r="H947" t="str">
            <v>000000000000000</v>
          </cell>
          <cell r="J947">
            <v>76104000</v>
          </cell>
          <cell r="K947">
            <v>0</v>
          </cell>
          <cell r="L947">
            <v>76104000</v>
          </cell>
        </row>
        <row r="948">
          <cell r="B948" t="str">
            <v>AIN32AC</v>
          </cell>
          <cell r="C948" t="str">
            <v>Nuansa Tani</v>
          </cell>
          <cell r="D948" t="str">
            <v>Supriati</v>
          </cell>
          <cell r="E948" t="str">
            <v>Desa Sahang, Kec. Ngebel</v>
          </cell>
          <cell r="F948" t="str">
            <v>Ponorogo</v>
          </cell>
          <cell r="G948" t="str">
            <v>3502195305680001</v>
          </cell>
          <cell r="H948" t="str">
            <v>000000000000000</v>
          </cell>
          <cell r="J948">
            <v>76100000</v>
          </cell>
          <cell r="K948">
            <v>0</v>
          </cell>
          <cell r="L948">
            <v>76100000</v>
          </cell>
        </row>
        <row r="949">
          <cell r="B949" t="str">
            <v>AIN33AC</v>
          </cell>
          <cell r="C949" t="str">
            <v>Nuansa Tani</v>
          </cell>
          <cell r="D949" t="str">
            <v>Miati</v>
          </cell>
          <cell r="E949" t="str">
            <v>Desa Wagir Lor, Kec. Ngebel</v>
          </cell>
          <cell r="F949" t="str">
            <v>Ponorogo</v>
          </cell>
          <cell r="G949" t="str">
            <v>3502196909600002</v>
          </cell>
          <cell r="H949" t="str">
            <v>000000000000000</v>
          </cell>
          <cell r="J949">
            <v>77396000</v>
          </cell>
          <cell r="K949">
            <v>0</v>
          </cell>
          <cell r="L949">
            <v>77396000</v>
          </cell>
        </row>
        <row r="950">
          <cell r="B950" t="str">
            <v>AIN34AC</v>
          </cell>
          <cell r="C950" t="str">
            <v>Nuansa Tani</v>
          </cell>
          <cell r="D950" t="str">
            <v>Heru Fitriawan</v>
          </cell>
          <cell r="E950" t="str">
            <v>Desa Wagir Lor, Kec. Ngebel</v>
          </cell>
          <cell r="F950" t="str">
            <v>Ponorogo</v>
          </cell>
          <cell r="G950" t="str">
            <v>3502191809770001</v>
          </cell>
          <cell r="H950" t="str">
            <v>000000000000000</v>
          </cell>
          <cell r="J950">
            <v>76100000</v>
          </cell>
          <cell r="K950">
            <v>0</v>
          </cell>
          <cell r="L950">
            <v>76100000</v>
          </cell>
        </row>
        <row r="951">
          <cell r="B951" t="str">
            <v>AIN36AC</v>
          </cell>
          <cell r="C951" t="str">
            <v>Nuansa Tani</v>
          </cell>
          <cell r="D951" t="str">
            <v>Yuliana</v>
          </cell>
          <cell r="E951" t="str">
            <v>Desa Ngrogung, Kec. Ngabel</v>
          </cell>
          <cell r="F951" t="str">
            <v>Ponorogo</v>
          </cell>
          <cell r="G951" t="str">
            <v>3502194911830001</v>
          </cell>
          <cell r="H951" t="str">
            <v>000000000000000</v>
          </cell>
          <cell r="J951">
            <v>77396000</v>
          </cell>
          <cell r="K951">
            <v>0</v>
          </cell>
          <cell r="L951">
            <v>77396000</v>
          </cell>
        </row>
        <row r="952">
          <cell r="B952" t="str">
            <v>AIN37AC</v>
          </cell>
          <cell r="C952" t="str">
            <v>Nuansa Tani</v>
          </cell>
          <cell r="D952" t="str">
            <v>Sogol</v>
          </cell>
          <cell r="E952" t="str">
            <v>Desa Ngrogung, Kec. Ngabel</v>
          </cell>
          <cell r="F952" t="str">
            <v>Ponorogo</v>
          </cell>
          <cell r="G952" t="str">
            <v>3502193004440001</v>
          </cell>
          <cell r="H952" t="str">
            <v>000000000000000</v>
          </cell>
          <cell r="J952">
            <v>51688000</v>
          </cell>
          <cell r="K952">
            <v>0</v>
          </cell>
          <cell r="L952">
            <v>51688000</v>
          </cell>
        </row>
        <row r="953">
          <cell r="B953" t="str">
            <v>AIN38AC</v>
          </cell>
          <cell r="C953" t="str">
            <v>Nuansa Tani</v>
          </cell>
          <cell r="D953" t="str">
            <v>Partini</v>
          </cell>
          <cell r="E953" t="str">
            <v>Desa Sahang, Kec. Ngebel</v>
          </cell>
          <cell r="F953" t="str">
            <v>Ponorogo</v>
          </cell>
          <cell r="G953" t="str">
            <v>3502195206750002</v>
          </cell>
          <cell r="H953" t="str">
            <v>000000000000000</v>
          </cell>
          <cell r="J953">
            <v>48552000</v>
          </cell>
          <cell r="K953">
            <v>0</v>
          </cell>
          <cell r="L953">
            <v>48552000</v>
          </cell>
        </row>
        <row r="954">
          <cell r="B954" t="str">
            <v>AIN39AC</v>
          </cell>
          <cell r="C954" t="str">
            <v>Nuansa Tani</v>
          </cell>
          <cell r="D954" t="str">
            <v>Purwati</v>
          </cell>
          <cell r="E954" t="str">
            <v>Desa Wagir Lor, Kec. Ngebel</v>
          </cell>
          <cell r="F954" t="str">
            <v>Ponorogo</v>
          </cell>
          <cell r="G954" t="str">
            <v>3502196001820007</v>
          </cell>
          <cell r="H954" t="str">
            <v>000000000000000</v>
          </cell>
          <cell r="J954">
            <v>30952000</v>
          </cell>
          <cell r="K954">
            <v>0</v>
          </cell>
          <cell r="L954">
            <v>30952000</v>
          </cell>
        </row>
        <row r="955">
          <cell r="B955" t="str">
            <v>AIN40AC</v>
          </cell>
          <cell r="C955" t="str">
            <v>Nuansa Tani</v>
          </cell>
          <cell r="D955" t="str">
            <v>Susiati</v>
          </cell>
          <cell r="E955" t="str">
            <v>Desa Wagir Lor, Kec. Ngebel</v>
          </cell>
          <cell r="F955" t="str">
            <v>Ponorogo</v>
          </cell>
          <cell r="G955" t="str">
            <v>3502194903910001</v>
          </cell>
          <cell r="H955" t="str">
            <v>000000000000000</v>
          </cell>
          <cell r="J955">
            <v>33528000</v>
          </cell>
          <cell r="K955">
            <v>0</v>
          </cell>
          <cell r="L955">
            <v>33528000</v>
          </cell>
        </row>
        <row r="956">
          <cell r="B956" t="str">
            <v>AIN41AC</v>
          </cell>
          <cell r="C956" t="str">
            <v>Nuansa Tani</v>
          </cell>
          <cell r="D956" t="str">
            <v>Mardi Utomo</v>
          </cell>
          <cell r="E956" t="str">
            <v>Desa Ngrogung, Kec. Ngabel</v>
          </cell>
          <cell r="F956" t="str">
            <v>Ponorogo</v>
          </cell>
          <cell r="G956" t="str">
            <v>3502190305820001</v>
          </cell>
          <cell r="H956" t="str">
            <v>000000000000000</v>
          </cell>
          <cell r="J956">
            <v>30952000</v>
          </cell>
          <cell r="K956">
            <v>0</v>
          </cell>
          <cell r="L956">
            <v>30952000</v>
          </cell>
        </row>
        <row r="957">
          <cell r="B957" t="str">
            <v>AIN42AC</v>
          </cell>
          <cell r="C957" t="str">
            <v>Nuansa Tani</v>
          </cell>
          <cell r="D957" t="str">
            <v>Haryani</v>
          </cell>
          <cell r="E957" t="str">
            <v>Desa Sahang, Kec. Ngebel</v>
          </cell>
          <cell r="F957" t="str">
            <v>Ponorogo</v>
          </cell>
          <cell r="G957" t="str">
            <v>3502194404820001</v>
          </cell>
          <cell r="H957" t="str">
            <v>000000000000000</v>
          </cell>
          <cell r="J957">
            <v>32240000</v>
          </cell>
          <cell r="K957">
            <v>0</v>
          </cell>
          <cell r="L957">
            <v>32240000</v>
          </cell>
        </row>
        <row r="958">
          <cell r="B958" t="str">
            <v>AIN43AC</v>
          </cell>
          <cell r="C958" t="str">
            <v>Nuansa Tani</v>
          </cell>
          <cell r="D958" t="str">
            <v>Supriyanto</v>
          </cell>
          <cell r="E958" t="str">
            <v>Desa Wagir Lor, Kec. Ngebel</v>
          </cell>
          <cell r="F958" t="str">
            <v>Ponorogo</v>
          </cell>
          <cell r="G958" t="str">
            <v>3502190603750002</v>
          </cell>
          <cell r="H958" t="str">
            <v>000000000000000</v>
          </cell>
          <cell r="J958">
            <v>32240000</v>
          </cell>
          <cell r="K958">
            <v>0</v>
          </cell>
          <cell r="L958">
            <v>32240000</v>
          </cell>
        </row>
        <row r="959">
          <cell r="B959" t="str">
            <v>AIN45AC</v>
          </cell>
          <cell r="C959" t="str">
            <v>Nuansa Tani</v>
          </cell>
          <cell r="D959" t="str">
            <v>Susiana</v>
          </cell>
          <cell r="E959" t="str">
            <v>Desa Ngrogung, Kec. Ngabel</v>
          </cell>
          <cell r="F959" t="str">
            <v>Ponorogo</v>
          </cell>
          <cell r="G959" t="str">
            <v>3519024104890001</v>
          </cell>
          <cell r="H959" t="str">
            <v>000000000000000</v>
          </cell>
          <cell r="J959">
            <v>32240000</v>
          </cell>
          <cell r="K959">
            <v>0</v>
          </cell>
          <cell r="L959">
            <v>32240000</v>
          </cell>
        </row>
        <row r="960">
          <cell r="B960" t="str">
            <v>AIN46AC</v>
          </cell>
          <cell r="C960" t="str">
            <v>Nuansa Tani</v>
          </cell>
          <cell r="D960" t="str">
            <v>Joko Setiyantoro</v>
          </cell>
          <cell r="E960" t="str">
            <v>Desa Wagir Lor, Kec. Ngebel</v>
          </cell>
          <cell r="F960" t="str">
            <v>Ponorogo</v>
          </cell>
          <cell r="G960" t="str">
            <v>3502192410800001</v>
          </cell>
          <cell r="H960" t="str">
            <v>000000000000000</v>
          </cell>
          <cell r="J960">
            <v>32240000</v>
          </cell>
          <cell r="K960">
            <v>0</v>
          </cell>
          <cell r="L960">
            <v>32240000</v>
          </cell>
        </row>
        <row r="961">
          <cell r="B961" t="str">
            <v>AIN47AC</v>
          </cell>
          <cell r="C961" t="str">
            <v>Nuansa Tani</v>
          </cell>
          <cell r="D961" t="str">
            <v>Suyanto</v>
          </cell>
          <cell r="E961" t="str">
            <v>Desa Sahang, Kec. Ngebel</v>
          </cell>
          <cell r="F961" t="str">
            <v>Ponorogo</v>
          </cell>
          <cell r="G961" t="str">
            <v>3502191801710001</v>
          </cell>
          <cell r="H961" t="str">
            <v>000000000000000</v>
          </cell>
          <cell r="J961">
            <v>32240000</v>
          </cell>
          <cell r="K961">
            <v>0</v>
          </cell>
          <cell r="L961">
            <v>32240000</v>
          </cell>
        </row>
        <row r="962">
          <cell r="B962" t="str">
            <v>AIN48AC</v>
          </cell>
          <cell r="C962" t="str">
            <v>Nuansa Tani</v>
          </cell>
          <cell r="D962" t="str">
            <v>Sutikno</v>
          </cell>
          <cell r="E962" t="str">
            <v>Desa Wagir Lor, Kec. Ngebel</v>
          </cell>
          <cell r="F962" t="str">
            <v>Ponorogo</v>
          </cell>
          <cell r="G962" t="str">
            <v>3502191206710003</v>
          </cell>
          <cell r="H962" t="str">
            <v>000000000000000</v>
          </cell>
          <cell r="J962">
            <v>39992000</v>
          </cell>
          <cell r="K962">
            <v>0</v>
          </cell>
          <cell r="L962">
            <v>39992000</v>
          </cell>
        </row>
        <row r="963">
          <cell r="B963" t="str">
            <v>AIN50AC</v>
          </cell>
          <cell r="C963" t="str">
            <v>Nuansa Tani</v>
          </cell>
          <cell r="D963" t="str">
            <v>Sugianto</v>
          </cell>
          <cell r="E963" t="str">
            <v>Desa Sahang, Kec. Ngebel</v>
          </cell>
          <cell r="F963" t="str">
            <v>Ponorogo</v>
          </cell>
          <cell r="G963" t="str">
            <v>3502190409700002</v>
          </cell>
          <cell r="H963" t="str">
            <v>000000000000000</v>
          </cell>
          <cell r="J963">
            <v>39992000</v>
          </cell>
          <cell r="K963">
            <v>0</v>
          </cell>
          <cell r="L963">
            <v>39992000</v>
          </cell>
        </row>
        <row r="964">
          <cell r="B964" t="str">
            <v>AIN51AC</v>
          </cell>
          <cell r="C964" t="str">
            <v>Nuansa Tani</v>
          </cell>
          <cell r="D964" t="str">
            <v>Tukiyem</v>
          </cell>
          <cell r="E964" t="str">
            <v>Desa Ngrogung, Kec. Ngebel</v>
          </cell>
          <cell r="F964" t="str">
            <v>Ponorogo</v>
          </cell>
          <cell r="G964" t="str">
            <v>3502196701550001</v>
          </cell>
          <cell r="H964" t="str">
            <v>000000000000000</v>
          </cell>
          <cell r="J964">
            <v>36124000</v>
          </cell>
          <cell r="K964">
            <v>0</v>
          </cell>
          <cell r="L964">
            <v>36124000</v>
          </cell>
        </row>
        <row r="965">
          <cell r="B965" t="str">
            <v>AIN52AC</v>
          </cell>
          <cell r="C965" t="str">
            <v>Nuansa Tani</v>
          </cell>
          <cell r="D965" t="str">
            <v>Abdul Wahid Romdoni</v>
          </cell>
          <cell r="E965" t="str">
            <v>Desa Wagir Lor, Kec. Ngebel</v>
          </cell>
          <cell r="F965" t="str">
            <v>Ponorogo</v>
          </cell>
          <cell r="G965" t="str">
            <v>3502192507790002</v>
          </cell>
          <cell r="H965" t="str">
            <v>000000000000000</v>
          </cell>
          <cell r="J965">
            <v>36128000</v>
          </cell>
          <cell r="K965">
            <v>0</v>
          </cell>
          <cell r="L965">
            <v>36128000</v>
          </cell>
        </row>
        <row r="966">
          <cell r="B966" t="str">
            <v>AIN53AC</v>
          </cell>
          <cell r="C966" t="str">
            <v>Nuansa Tani</v>
          </cell>
          <cell r="D966" t="str">
            <v>Narni</v>
          </cell>
          <cell r="E966" t="str">
            <v>Desa Sahang, Kec. Ngebel</v>
          </cell>
          <cell r="F966" t="str">
            <v>Ponorogo</v>
          </cell>
          <cell r="G966" t="str">
            <v>3502196012840001</v>
          </cell>
          <cell r="H966" t="str">
            <v>000000000000000</v>
          </cell>
          <cell r="J966">
            <v>34836000</v>
          </cell>
          <cell r="K966">
            <v>0</v>
          </cell>
          <cell r="L966">
            <v>34836000</v>
          </cell>
        </row>
        <row r="967">
          <cell r="B967" t="str">
            <v>AIN54AC</v>
          </cell>
          <cell r="C967" t="str">
            <v>Nuansa Tani</v>
          </cell>
          <cell r="D967" t="str">
            <v>Edi Suwoko</v>
          </cell>
          <cell r="E967" t="str">
            <v>Desa Wagir Lor, Kec. Ngebel</v>
          </cell>
          <cell r="F967" t="str">
            <v>Ponorogo</v>
          </cell>
          <cell r="G967" t="str">
            <v>3502191608730001</v>
          </cell>
          <cell r="H967" t="str">
            <v>000000000000000</v>
          </cell>
          <cell r="J967">
            <v>34836000</v>
          </cell>
          <cell r="K967">
            <v>0</v>
          </cell>
          <cell r="L967">
            <v>34836000</v>
          </cell>
        </row>
        <row r="968">
          <cell r="B968" t="str">
            <v>AIN56AC</v>
          </cell>
          <cell r="C968" t="str">
            <v>Nuansa Tani</v>
          </cell>
          <cell r="D968" t="str">
            <v>Suwenti Dwi Cahyanti</v>
          </cell>
          <cell r="E968" t="str">
            <v>Desa Wagir Lor, Kec. Ngebel</v>
          </cell>
          <cell r="F968" t="str">
            <v>Ponorogo</v>
          </cell>
          <cell r="G968" t="str">
            <v>3502196611870001</v>
          </cell>
          <cell r="H968" t="str">
            <v>000000000000000</v>
          </cell>
          <cell r="J968">
            <v>36128000</v>
          </cell>
          <cell r="K968">
            <v>0</v>
          </cell>
          <cell r="L968">
            <v>36128000</v>
          </cell>
        </row>
        <row r="969">
          <cell r="B969" t="str">
            <v>AIN57AC</v>
          </cell>
          <cell r="C969" t="str">
            <v>Nuansa Tani</v>
          </cell>
          <cell r="D969" t="str">
            <v>Riyanto</v>
          </cell>
          <cell r="E969" t="str">
            <v>Desa Ngrogung, Kec. Ngebel</v>
          </cell>
          <cell r="F969" t="str">
            <v>Ponorogo</v>
          </cell>
          <cell r="G969" t="str">
            <v>3502193006710002</v>
          </cell>
          <cell r="H969" t="str">
            <v>000000000000000</v>
          </cell>
          <cell r="J969">
            <v>34836000</v>
          </cell>
          <cell r="K969">
            <v>0</v>
          </cell>
          <cell r="L969">
            <v>34836000</v>
          </cell>
        </row>
        <row r="970">
          <cell r="B970" t="str">
            <v>AIN58AC</v>
          </cell>
          <cell r="C970" t="str">
            <v>Nuansa Tani</v>
          </cell>
          <cell r="D970" t="str">
            <v>Sunardi</v>
          </cell>
          <cell r="E970" t="str">
            <v>Desa Sahang, Kec. Ngebel</v>
          </cell>
          <cell r="F970" t="str">
            <v>Ponorogo</v>
          </cell>
          <cell r="G970" t="str">
            <v>3502191808690002</v>
          </cell>
          <cell r="H970" t="str">
            <v>000000000000000</v>
          </cell>
          <cell r="J970">
            <v>20672000</v>
          </cell>
          <cell r="K970">
            <v>0</v>
          </cell>
          <cell r="L970">
            <v>20672000</v>
          </cell>
        </row>
        <row r="971">
          <cell r="B971" t="str">
            <v>AIN59AC</v>
          </cell>
          <cell r="C971" t="str">
            <v>Nuansa Tani</v>
          </cell>
          <cell r="D971" t="str">
            <v>Alip Nurani</v>
          </cell>
          <cell r="E971" t="str">
            <v>Desa Wagir Lor, Kec. Ngebel</v>
          </cell>
          <cell r="F971" t="str">
            <v>Ponorogo</v>
          </cell>
          <cell r="G971" t="str">
            <v>3502195103860002</v>
          </cell>
          <cell r="H971" t="str">
            <v>000000000000000</v>
          </cell>
          <cell r="J971">
            <v>16796000</v>
          </cell>
          <cell r="K971">
            <v>0</v>
          </cell>
          <cell r="L971">
            <v>16796000</v>
          </cell>
        </row>
        <row r="972">
          <cell r="B972" t="str">
            <v>AIN60AC</v>
          </cell>
          <cell r="C972" t="str">
            <v>Nuansa Tani</v>
          </cell>
          <cell r="D972" t="str">
            <v>Marmi</v>
          </cell>
          <cell r="E972" t="str">
            <v>Desa Ngrogung, Kec. Ngebel</v>
          </cell>
          <cell r="F972" t="str">
            <v>Ponorogo</v>
          </cell>
          <cell r="G972" t="str">
            <v>3502195305650001</v>
          </cell>
          <cell r="H972" t="str">
            <v>000000000000000</v>
          </cell>
          <cell r="J972">
            <v>18088000</v>
          </cell>
          <cell r="K972">
            <v>0</v>
          </cell>
          <cell r="L972">
            <v>18088000</v>
          </cell>
        </row>
        <row r="973">
          <cell r="B973" t="str">
            <v>AIN61AC</v>
          </cell>
          <cell r="C973" t="str">
            <v>Nuansa Tani</v>
          </cell>
          <cell r="D973" t="str">
            <v>Ari</v>
          </cell>
          <cell r="E973" t="str">
            <v>Desa Ngrogung, Kec. Ngebel</v>
          </cell>
          <cell r="F973" t="str">
            <v>Ponorogo</v>
          </cell>
          <cell r="G973" t="str">
            <v>3502195701850001</v>
          </cell>
          <cell r="H973" t="str">
            <v>000000000000000</v>
          </cell>
          <cell r="J973">
            <v>18088000</v>
          </cell>
          <cell r="K973">
            <v>0</v>
          </cell>
          <cell r="L973">
            <v>18088000</v>
          </cell>
        </row>
        <row r="974">
          <cell r="B974" t="str">
            <v>AIN62AC</v>
          </cell>
          <cell r="C974" t="str">
            <v>Nuansa Tani</v>
          </cell>
          <cell r="D974" t="str">
            <v>Diki Agus Setiawan</v>
          </cell>
          <cell r="E974" t="str">
            <v>Desa Wagir Lor, Kec. Ngebel</v>
          </cell>
          <cell r="F974" t="str">
            <v>Ponorogo</v>
          </cell>
          <cell r="G974" t="str">
            <v>3502192108860001</v>
          </cell>
          <cell r="H974" t="str">
            <v>000000000000000</v>
          </cell>
          <cell r="J974">
            <v>42636000</v>
          </cell>
          <cell r="K974">
            <v>0</v>
          </cell>
          <cell r="L974">
            <v>42636000</v>
          </cell>
        </row>
        <row r="975">
          <cell r="B975" t="str">
            <v>AIN63AC</v>
          </cell>
          <cell r="C975" t="str">
            <v>Nuansa Tani</v>
          </cell>
          <cell r="D975" t="str">
            <v>Supiyah</v>
          </cell>
          <cell r="E975" t="str">
            <v>Desa Sahang, Kec. Ngebel</v>
          </cell>
          <cell r="F975" t="str">
            <v>Ponorogo</v>
          </cell>
          <cell r="G975" t="str">
            <v>3502196303740002</v>
          </cell>
          <cell r="H975" t="str">
            <v>000000000000000</v>
          </cell>
          <cell r="J975">
            <v>23256000</v>
          </cell>
          <cell r="K975">
            <v>0</v>
          </cell>
          <cell r="L975">
            <v>23256000</v>
          </cell>
        </row>
        <row r="976">
          <cell r="B976" t="str">
            <v>AIN64AC</v>
          </cell>
          <cell r="C976" t="str">
            <v>Nuansa Tani</v>
          </cell>
          <cell r="D976" t="str">
            <v>Wiryadi</v>
          </cell>
          <cell r="E976" t="str">
            <v>Desa Ngrogung, Kec. Ngebel</v>
          </cell>
          <cell r="F976" t="str">
            <v>Ponorogo</v>
          </cell>
          <cell r="G976" t="str">
            <v>3502191412490001</v>
          </cell>
          <cell r="H976" t="str">
            <v>000000000000000</v>
          </cell>
          <cell r="J976">
            <v>23256000</v>
          </cell>
          <cell r="K976">
            <v>0</v>
          </cell>
          <cell r="L976">
            <v>23256000</v>
          </cell>
        </row>
        <row r="977">
          <cell r="B977" t="str">
            <v>AIN65AC</v>
          </cell>
          <cell r="C977" t="str">
            <v>Nuansa Tani</v>
          </cell>
          <cell r="D977" t="str">
            <v>Kastoli</v>
          </cell>
          <cell r="E977" t="str">
            <v>Desa Sahang, Kec. Ngebel</v>
          </cell>
          <cell r="F977" t="str">
            <v>Ponorogo</v>
          </cell>
          <cell r="G977" t="str">
            <v>3502190911760002</v>
          </cell>
          <cell r="H977" t="str">
            <v>000000000000000</v>
          </cell>
          <cell r="J977">
            <v>20672000</v>
          </cell>
          <cell r="K977">
            <v>0</v>
          </cell>
          <cell r="L977">
            <v>20672000</v>
          </cell>
        </row>
        <row r="978">
          <cell r="B978" t="str">
            <v>AIN66AC</v>
          </cell>
          <cell r="C978" t="str">
            <v>Nuansa Tani</v>
          </cell>
          <cell r="D978" t="str">
            <v>Harini</v>
          </cell>
          <cell r="E978" t="str">
            <v>Desa Wagir Lor, Kec. Ngebel</v>
          </cell>
          <cell r="F978" t="str">
            <v>Ponorogo</v>
          </cell>
          <cell r="G978" t="str">
            <v>3502194206650001</v>
          </cell>
          <cell r="H978" t="str">
            <v>000000000000000</v>
          </cell>
          <cell r="J978">
            <v>21964000</v>
          </cell>
          <cell r="K978">
            <v>0</v>
          </cell>
          <cell r="L978">
            <v>21964000</v>
          </cell>
        </row>
        <row r="979">
          <cell r="B979" t="str">
            <v>AIN67AC</v>
          </cell>
          <cell r="C979" t="str">
            <v>Nuansa Tani</v>
          </cell>
          <cell r="D979" t="str">
            <v>Sutini</v>
          </cell>
          <cell r="E979" t="str">
            <v>Desa Sahang, Kec. Ngebel</v>
          </cell>
          <cell r="F979" t="str">
            <v>Ponorogo</v>
          </cell>
          <cell r="G979" t="str">
            <v>3502194701790002</v>
          </cell>
          <cell r="H979" t="str">
            <v>000000000000000</v>
          </cell>
          <cell r="J979">
            <v>20672000</v>
          </cell>
          <cell r="K979">
            <v>0</v>
          </cell>
          <cell r="L979">
            <v>20672000</v>
          </cell>
        </row>
        <row r="980">
          <cell r="B980" t="str">
            <v>AIN68AC</v>
          </cell>
          <cell r="C980" t="str">
            <v>Nuansa Tani</v>
          </cell>
          <cell r="D980" t="str">
            <v>Rinem</v>
          </cell>
          <cell r="E980" t="str">
            <v>Desa Ngrogung, Kec. Ngebel</v>
          </cell>
          <cell r="F980" t="str">
            <v>Ponorogo</v>
          </cell>
          <cell r="G980" t="str">
            <v>3502194306540001</v>
          </cell>
          <cell r="H980" t="str">
            <v>000000000000000</v>
          </cell>
          <cell r="J980">
            <v>43928000</v>
          </cell>
          <cell r="K980">
            <v>0</v>
          </cell>
          <cell r="L980">
            <v>43928000</v>
          </cell>
        </row>
        <row r="981">
          <cell r="B981" t="str">
            <v>AIN69AC</v>
          </cell>
          <cell r="C981" t="str">
            <v>Nuansa Tani</v>
          </cell>
          <cell r="D981" t="str">
            <v>Muhammad Zulkarnain A. H</v>
          </cell>
          <cell r="E981" t="str">
            <v>Desa Wagir Lor, Kec. Ngebel</v>
          </cell>
          <cell r="F981" t="str">
            <v>Ponorogo</v>
          </cell>
          <cell r="G981" t="str">
            <v>3502190712830001</v>
          </cell>
          <cell r="H981" t="str">
            <v>000000000000000</v>
          </cell>
          <cell r="J981">
            <v>21964000</v>
          </cell>
          <cell r="K981">
            <v>0</v>
          </cell>
          <cell r="L981">
            <v>21964000</v>
          </cell>
        </row>
        <row r="982">
          <cell r="B982" t="str">
            <v>AIN70AC</v>
          </cell>
          <cell r="C982" t="str">
            <v>Nuansa Tani</v>
          </cell>
          <cell r="D982" t="str">
            <v>Sarti</v>
          </cell>
          <cell r="E982" t="str">
            <v>Desa Sahang, Kec. Ngebel</v>
          </cell>
          <cell r="F982" t="str">
            <v>Ponorogo</v>
          </cell>
          <cell r="G982" t="str">
            <v>3502196711520001</v>
          </cell>
          <cell r="H982" t="str">
            <v>000000000000000</v>
          </cell>
          <cell r="J982">
            <v>23256000</v>
          </cell>
          <cell r="K982">
            <v>0</v>
          </cell>
          <cell r="L982">
            <v>23256000</v>
          </cell>
        </row>
        <row r="983">
          <cell r="B983" t="str">
            <v>AIN71AC</v>
          </cell>
          <cell r="C983" t="str">
            <v>Nuansa Tani</v>
          </cell>
          <cell r="D983" t="str">
            <v>Sri Puryanti</v>
          </cell>
          <cell r="E983" t="str">
            <v>Desa Wagir Lor, Kec. Ngebel</v>
          </cell>
          <cell r="F983" t="str">
            <v>Ponorogo</v>
          </cell>
          <cell r="G983" t="str">
            <v>3502195602840001</v>
          </cell>
          <cell r="H983" t="str">
            <v>000000000000000</v>
          </cell>
          <cell r="J983">
            <v>23256000</v>
          </cell>
          <cell r="K983">
            <v>0</v>
          </cell>
          <cell r="L983">
            <v>23256000</v>
          </cell>
        </row>
        <row r="984">
          <cell r="B984" t="str">
            <v>AIN72AC</v>
          </cell>
          <cell r="C984" t="str">
            <v>Nuansa Tani</v>
          </cell>
          <cell r="D984" t="str">
            <v>Nur Hayati</v>
          </cell>
          <cell r="E984" t="str">
            <v>Desa Ngrogung, Kec. Ngebel</v>
          </cell>
          <cell r="F984" t="str">
            <v>Ponorogo</v>
          </cell>
          <cell r="G984" t="str">
            <v>3502194805760001</v>
          </cell>
          <cell r="H984" t="str">
            <v>000000000000000</v>
          </cell>
          <cell r="J984">
            <v>20672000</v>
          </cell>
          <cell r="K984">
            <v>0</v>
          </cell>
          <cell r="L984">
            <v>20672000</v>
          </cell>
        </row>
        <row r="985">
          <cell r="B985" t="str">
            <v>AIN73AC</v>
          </cell>
          <cell r="C985" t="str">
            <v>Nuansa Tani</v>
          </cell>
          <cell r="D985" t="str">
            <v>Suharsih</v>
          </cell>
          <cell r="E985" t="str">
            <v>Desa Wagir Lor, Kec. Ngebel</v>
          </cell>
          <cell r="F985" t="str">
            <v>Ponorogo</v>
          </cell>
          <cell r="G985" t="str">
            <v>3502194704790005</v>
          </cell>
          <cell r="H985" t="str">
            <v>000000000000000</v>
          </cell>
          <cell r="J985">
            <v>21964000</v>
          </cell>
          <cell r="K985">
            <v>0</v>
          </cell>
          <cell r="L985">
            <v>21964000</v>
          </cell>
        </row>
        <row r="986">
          <cell r="B986" t="str">
            <v>AIN74AC</v>
          </cell>
          <cell r="C986" t="str">
            <v>Nuansa Tani</v>
          </cell>
          <cell r="D986" t="str">
            <v>Marno</v>
          </cell>
          <cell r="E986" t="str">
            <v>Desa Sahang, Kec. Ngebel</v>
          </cell>
          <cell r="F986" t="str">
            <v>Ponorogo</v>
          </cell>
          <cell r="G986" t="str">
            <v>3502190406440001</v>
          </cell>
          <cell r="H986" t="str">
            <v>000000000000000</v>
          </cell>
          <cell r="J986">
            <v>23256000</v>
          </cell>
          <cell r="K986">
            <v>0</v>
          </cell>
          <cell r="L986">
            <v>23256000</v>
          </cell>
        </row>
        <row r="987">
          <cell r="B987" t="str">
            <v>AIN75AC</v>
          </cell>
          <cell r="C987" t="str">
            <v>Nuansa Tani</v>
          </cell>
          <cell r="D987" t="str">
            <v>Yatimun</v>
          </cell>
          <cell r="E987" t="str">
            <v>Desa Ngrogung, Kec. Ngebel</v>
          </cell>
          <cell r="F987" t="str">
            <v>Ponorogo</v>
          </cell>
          <cell r="G987" t="str">
            <v>3502192912600001</v>
          </cell>
          <cell r="H987" t="str">
            <v>000000000000000</v>
          </cell>
          <cell r="J987">
            <v>21964000</v>
          </cell>
          <cell r="K987">
            <v>0</v>
          </cell>
          <cell r="L987">
            <v>21964000</v>
          </cell>
        </row>
        <row r="988">
          <cell r="B988" t="str">
            <v>AIN76AC</v>
          </cell>
          <cell r="C988" t="str">
            <v>Nuansa Tani</v>
          </cell>
          <cell r="D988" t="str">
            <v>Lamuji</v>
          </cell>
          <cell r="E988" t="str">
            <v>Desa Ngrogung, Kec. Ngebel</v>
          </cell>
          <cell r="F988" t="str">
            <v>Ponorogo</v>
          </cell>
          <cell r="G988" t="str">
            <v>3502196404710001</v>
          </cell>
          <cell r="H988" t="str">
            <v>000000000000000</v>
          </cell>
          <cell r="J988">
            <v>23256000</v>
          </cell>
          <cell r="K988">
            <v>0</v>
          </cell>
          <cell r="L988">
            <v>23256000</v>
          </cell>
        </row>
        <row r="989">
          <cell r="B989" t="str">
            <v>AIN77AC</v>
          </cell>
          <cell r="C989" t="str">
            <v>Nuansa Tani</v>
          </cell>
          <cell r="D989" t="str">
            <v>Bibit</v>
          </cell>
          <cell r="E989" t="str">
            <v>Desa Wagir Lor, Kec. Ngebel</v>
          </cell>
          <cell r="F989" t="str">
            <v>Ponorogo</v>
          </cell>
          <cell r="G989" t="str">
            <v>3502192009720003</v>
          </cell>
          <cell r="H989" t="str">
            <v>000000000000000</v>
          </cell>
          <cell r="J989">
            <v>18088000</v>
          </cell>
          <cell r="K989">
            <v>0</v>
          </cell>
          <cell r="L989">
            <v>18088000</v>
          </cell>
        </row>
        <row r="990">
          <cell r="B990" t="str">
            <v>AIN78AC</v>
          </cell>
          <cell r="C990" t="str">
            <v>Nuansa Tani</v>
          </cell>
          <cell r="D990" t="str">
            <v>Suti</v>
          </cell>
          <cell r="E990" t="str">
            <v>Desa Sahang, Kec. Ngebel</v>
          </cell>
          <cell r="F990" t="str">
            <v>Ponorogo</v>
          </cell>
          <cell r="G990" t="str">
            <v>3502194508480001</v>
          </cell>
          <cell r="H990" t="str">
            <v>000000000000000</v>
          </cell>
          <cell r="J990">
            <v>18088000</v>
          </cell>
          <cell r="K990">
            <v>0</v>
          </cell>
          <cell r="L990">
            <v>18088000</v>
          </cell>
        </row>
        <row r="991">
          <cell r="B991" t="str">
            <v>AIN79AC</v>
          </cell>
          <cell r="C991" t="str">
            <v>Nuansa Tani</v>
          </cell>
          <cell r="D991" t="str">
            <v>Siti Fatimah</v>
          </cell>
          <cell r="E991" t="str">
            <v>Desa Ngrogung, Kec. Ngebel</v>
          </cell>
          <cell r="F991" t="str">
            <v>Ponorogo</v>
          </cell>
          <cell r="G991" t="str">
            <v>3502195907930001</v>
          </cell>
          <cell r="H991" t="str">
            <v>000000000000000</v>
          </cell>
          <cell r="J991">
            <v>19380000</v>
          </cell>
          <cell r="K991">
            <v>0</v>
          </cell>
          <cell r="L991">
            <v>19380000</v>
          </cell>
        </row>
        <row r="992">
          <cell r="B992" t="str">
            <v>AIN80AC</v>
          </cell>
          <cell r="C992" t="str">
            <v>Nuansa Tani</v>
          </cell>
          <cell r="D992" t="str">
            <v>Prihatin</v>
          </cell>
          <cell r="E992" t="str">
            <v>Desa Wagir Lor, Kec. Ngebel</v>
          </cell>
          <cell r="F992" t="str">
            <v>Ponorogo</v>
          </cell>
          <cell r="G992" t="str">
            <v>3502195004690001</v>
          </cell>
          <cell r="H992" t="str">
            <v>000000000000000</v>
          </cell>
          <cell r="J992">
            <v>15504000</v>
          </cell>
          <cell r="K992">
            <v>0</v>
          </cell>
          <cell r="L992">
            <v>15504000</v>
          </cell>
        </row>
        <row r="993">
          <cell r="B993" t="str">
            <v>AIN81AC</v>
          </cell>
          <cell r="C993" t="str">
            <v>Nuansa Tani</v>
          </cell>
          <cell r="D993" t="str">
            <v>Fajar Wardoyo</v>
          </cell>
          <cell r="E993" t="str">
            <v>Desa Ngrogung, Kec. Ngebel</v>
          </cell>
          <cell r="F993" t="str">
            <v>Ponorogo</v>
          </cell>
          <cell r="G993" t="str">
            <v>3502192809950001</v>
          </cell>
          <cell r="H993" t="str">
            <v>000000000000000</v>
          </cell>
          <cell r="J993">
            <v>0</v>
          </cell>
          <cell r="K993">
            <v>0</v>
          </cell>
          <cell r="L993">
            <v>0</v>
          </cell>
        </row>
        <row r="994">
          <cell r="B994" t="str">
            <v>AIN82AC</v>
          </cell>
          <cell r="C994" t="str">
            <v>Nuansa Tani</v>
          </cell>
          <cell r="D994" t="str">
            <v>Edi Supeno</v>
          </cell>
          <cell r="E994" t="str">
            <v>Desa Sahang, Kec. Ngebel</v>
          </cell>
          <cell r="F994" t="str">
            <v>Ponorogo</v>
          </cell>
          <cell r="G994" t="str">
            <v>3502190701730001</v>
          </cell>
          <cell r="H994" t="str">
            <v>000000000000000</v>
          </cell>
          <cell r="J994">
            <v>0</v>
          </cell>
          <cell r="K994">
            <v>0</v>
          </cell>
          <cell r="L994">
            <v>0</v>
          </cell>
        </row>
        <row r="995">
          <cell r="B995" t="str">
            <v>AIN83AC</v>
          </cell>
          <cell r="C995" t="str">
            <v>Nuansa Tani</v>
          </cell>
          <cell r="D995" t="str">
            <v>Supingi</v>
          </cell>
          <cell r="E995" t="str">
            <v>Desa Wagir Lor, Kec. Ngebel</v>
          </cell>
          <cell r="F995" t="str">
            <v>Ponorogo</v>
          </cell>
          <cell r="G995" t="str">
            <v>3502190403780003</v>
          </cell>
          <cell r="H995" t="str">
            <v>000000000000000</v>
          </cell>
          <cell r="J995">
            <v>0</v>
          </cell>
          <cell r="K995">
            <v>0</v>
          </cell>
          <cell r="L995">
            <v>0</v>
          </cell>
        </row>
        <row r="996">
          <cell r="B996" t="str">
            <v>AIN85AC</v>
          </cell>
          <cell r="C996" t="str">
            <v>Nuansa Tani</v>
          </cell>
          <cell r="D996" t="str">
            <v>Warinem</v>
          </cell>
          <cell r="E996" t="str">
            <v>Desa Ngrogung, Kec. Ngebel</v>
          </cell>
          <cell r="F996" t="str">
            <v>Ponorogo</v>
          </cell>
          <cell r="G996" t="str">
            <v>3502196709570003</v>
          </cell>
          <cell r="H996" t="str">
            <v>000000000000000</v>
          </cell>
          <cell r="J996">
            <v>0</v>
          </cell>
          <cell r="K996">
            <v>0</v>
          </cell>
          <cell r="L996">
            <v>0</v>
          </cell>
        </row>
        <row r="997">
          <cell r="B997" t="str">
            <v>AIN88AC</v>
          </cell>
          <cell r="C997" t="str">
            <v>Nuansa Tani</v>
          </cell>
          <cell r="D997" t="str">
            <v>Siti Masunah</v>
          </cell>
          <cell r="E997" t="str">
            <v>Desa Sahang, Kec. Ngebel</v>
          </cell>
          <cell r="F997" t="str">
            <v>Ponorogo</v>
          </cell>
          <cell r="G997" t="str">
            <v>3502194806760001</v>
          </cell>
          <cell r="H997" t="str">
            <v>000000000000000</v>
          </cell>
          <cell r="J997">
            <v>0</v>
          </cell>
          <cell r="K997">
            <v>0</v>
          </cell>
          <cell r="L997">
            <v>0</v>
          </cell>
        </row>
        <row r="998">
          <cell r="B998" t="str">
            <v>AIN89AC</v>
          </cell>
          <cell r="C998" t="str">
            <v>Nuansa Tani</v>
          </cell>
          <cell r="D998" t="str">
            <v>Basri</v>
          </cell>
          <cell r="E998" t="str">
            <v>Desa Ngrogung, Kec. Ngebel</v>
          </cell>
          <cell r="F998" t="str">
            <v>Ponorogo</v>
          </cell>
          <cell r="G998" t="str">
            <v>3502195412670001</v>
          </cell>
          <cell r="H998" t="str">
            <v>000000000000000</v>
          </cell>
          <cell r="J998">
            <v>0</v>
          </cell>
          <cell r="K998">
            <v>0</v>
          </cell>
          <cell r="L998">
            <v>0</v>
          </cell>
        </row>
        <row r="999">
          <cell r="B999" t="str">
            <v>AIN90AC</v>
          </cell>
          <cell r="C999" t="str">
            <v>Nuansa Tani</v>
          </cell>
          <cell r="D999" t="str">
            <v>Sujarno</v>
          </cell>
          <cell r="E999" t="str">
            <v>Desa Ngrogung, Kec. Ngebel</v>
          </cell>
          <cell r="F999" t="str">
            <v>Ponorogo</v>
          </cell>
          <cell r="G999" t="str">
            <v>3502191908880001</v>
          </cell>
          <cell r="H999" t="str">
            <v>000000000000000</v>
          </cell>
          <cell r="J999">
            <v>0</v>
          </cell>
          <cell r="K999">
            <v>0</v>
          </cell>
          <cell r="L999">
            <v>0</v>
          </cell>
        </row>
        <row r="1000">
          <cell r="B1000" t="str">
            <v>AIN91AC</v>
          </cell>
          <cell r="C1000" t="str">
            <v>Nuansa Tani</v>
          </cell>
          <cell r="D1000" t="str">
            <v>Suparni</v>
          </cell>
          <cell r="E1000" t="str">
            <v>Desa Sahang, Kec. Ngebel</v>
          </cell>
          <cell r="F1000" t="str">
            <v>Ponorogo</v>
          </cell>
          <cell r="G1000" t="str">
            <v>3502191412660002</v>
          </cell>
          <cell r="H1000" t="str">
            <v>000000000000000</v>
          </cell>
          <cell r="J1000">
            <v>0</v>
          </cell>
          <cell r="K1000">
            <v>0</v>
          </cell>
          <cell r="L1000">
            <v>0</v>
          </cell>
        </row>
        <row r="1001">
          <cell r="B1001" t="str">
            <v>AIN93AC</v>
          </cell>
          <cell r="C1001" t="str">
            <v>Nuansa Tani</v>
          </cell>
          <cell r="D1001" t="str">
            <v>Yati</v>
          </cell>
          <cell r="E1001" t="str">
            <v>Desa Ngrogung, Kec. Ngebel</v>
          </cell>
          <cell r="F1001" t="str">
            <v>Ponorogo</v>
          </cell>
          <cell r="G1001" t="str">
            <v>3502197006500046</v>
          </cell>
          <cell r="H1001" t="str">
            <v>000000000000000</v>
          </cell>
          <cell r="J1001">
            <v>0</v>
          </cell>
          <cell r="K1001">
            <v>0</v>
          </cell>
          <cell r="L1001">
            <v>0</v>
          </cell>
        </row>
        <row r="1002">
          <cell r="B1002" t="str">
            <v>AIN94AC</v>
          </cell>
          <cell r="C1002" t="str">
            <v>Nuansa Tani</v>
          </cell>
          <cell r="D1002" t="str">
            <v>Hesti Astuti</v>
          </cell>
          <cell r="E1002" t="str">
            <v>Desa Sahang, Kec. Ngebel</v>
          </cell>
          <cell r="F1002" t="str">
            <v>Ponorogo</v>
          </cell>
          <cell r="G1002" t="str">
            <v>3502196912720001</v>
          </cell>
          <cell r="H1002" t="str">
            <v>000000000000000</v>
          </cell>
          <cell r="J1002">
            <v>0</v>
          </cell>
          <cell r="K1002">
            <v>0</v>
          </cell>
          <cell r="L1002">
            <v>0</v>
          </cell>
        </row>
        <row r="1003">
          <cell r="B1003" t="str">
            <v>AIN96AC</v>
          </cell>
          <cell r="C1003" t="str">
            <v>Nuansa Tani</v>
          </cell>
          <cell r="D1003" t="str">
            <v>Sumadi</v>
          </cell>
          <cell r="E1003" t="str">
            <v>Desa Ngrogung, Kec. Ngebel</v>
          </cell>
          <cell r="F1003" t="str">
            <v>Ponorogo</v>
          </cell>
          <cell r="G1003" t="str">
            <v>3502191009680001</v>
          </cell>
          <cell r="H1003" t="str">
            <v>000000000000000</v>
          </cell>
          <cell r="J1003">
            <v>0</v>
          </cell>
          <cell r="K1003">
            <v>0</v>
          </cell>
          <cell r="L1003">
            <v>0</v>
          </cell>
        </row>
        <row r="1004">
          <cell r="B1004" t="str">
            <v>PERS01AC</v>
          </cell>
          <cell r="C1004" t="str">
            <v>Persada Tani/Munir</v>
          </cell>
          <cell r="D1004" t="str">
            <v>Muhammad Ali</v>
          </cell>
          <cell r="E1004" t="str">
            <v>Dsn. Balong, RT.001/RW.003, Kel. Padangan, Kec. Ngantru</v>
          </cell>
          <cell r="F1004" t="str">
            <v>Tulungagung</v>
          </cell>
          <cell r="G1004" t="str">
            <v>3504042212770002</v>
          </cell>
          <cell r="H1004" t="str">
            <v>000000000000000</v>
          </cell>
          <cell r="J1004">
            <v>0</v>
          </cell>
          <cell r="K1004">
            <v>0</v>
          </cell>
          <cell r="L1004">
            <v>0</v>
          </cell>
        </row>
        <row r="1005">
          <cell r="B1005" t="str">
            <v>PJF 01AC</v>
          </cell>
          <cell r="C1005" t="str">
            <v>Putra Jaya/Fahan</v>
          </cell>
          <cell r="D1005" t="str">
            <v>Moch. Dian Prasetyo</v>
          </cell>
          <cell r="E1005" t="str">
            <v>Benoe I, RT.003/RW.001, Kel. Benoe, Kec. Garum</v>
          </cell>
          <cell r="F1005" t="str">
            <v>Blitar</v>
          </cell>
          <cell r="G1005" t="str">
            <v>3505111307010001</v>
          </cell>
          <cell r="H1005" t="str">
            <v>000000000000000</v>
          </cell>
          <cell r="J1005">
            <v>0</v>
          </cell>
          <cell r="K1005">
            <v>0</v>
          </cell>
          <cell r="L1005">
            <v>0</v>
          </cell>
        </row>
        <row r="1006">
          <cell r="B1006" t="str">
            <v>PJF 02AC</v>
          </cell>
          <cell r="C1006" t="str">
            <v>Putra Jaya/Fahan</v>
          </cell>
          <cell r="D1006" t="str">
            <v>Aldi Cahyono</v>
          </cell>
          <cell r="E1006" t="str">
            <v>Dsn. Karang Tengah, RT.005/RW.007, Kel. Pikatan, Kec. Wonodadi</v>
          </cell>
          <cell r="F1006" t="str">
            <v>Blitar</v>
          </cell>
          <cell r="G1006" t="str">
            <v>3505010107040004</v>
          </cell>
          <cell r="H1006" t="str">
            <v>000000000000000</v>
          </cell>
          <cell r="J1006">
            <v>0</v>
          </cell>
          <cell r="K1006">
            <v>0</v>
          </cell>
          <cell r="L1006">
            <v>0</v>
          </cell>
        </row>
        <row r="1007">
          <cell r="B1007" t="str">
            <v>RASK01AC</v>
          </cell>
          <cell r="C1007" t="str">
            <v>Raska, UD</v>
          </cell>
          <cell r="D1007" t="str">
            <v>A. Zainudin Anshori</v>
          </cell>
          <cell r="E1007" t="str">
            <v>Dsn. Sambiringik, RT.005/RW.008/, Kel. Ampel, Kec. Wuluhan</v>
          </cell>
          <cell r="F1007" t="str">
            <v>Jember</v>
          </cell>
          <cell r="G1007" t="str">
            <v>3509112505930001</v>
          </cell>
          <cell r="H1007" t="str">
            <v>000000000000000</v>
          </cell>
          <cell r="J1007">
            <v>40193199.999777399</v>
          </cell>
          <cell r="K1007">
            <v>0</v>
          </cell>
          <cell r="L1007">
            <v>40193199.999777399</v>
          </cell>
        </row>
        <row r="1008">
          <cell r="B1008" t="str">
            <v>RASK02AC</v>
          </cell>
          <cell r="C1008" t="str">
            <v>Raska, UD</v>
          </cell>
          <cell r="D1008" t="str">
            <v>Iguh Firmansyah</v>
          </cell>
          <cell r="E1008" t="str">
            <v>Dsn. Tirtoasri, RT.02/RW.26, Kel. Andongsari, Kec. Ambulu</v>
          </cell>
          <cell r="F1008" t="str">
            <v>Jember</v>
          </cell>
          <cell r="G1008" t="str">
            <v>3509122407980003</v>
          </cell>
          <cell r="H1008" t="str">
            <v>000000000000000</v>
          </cell>
          <cell r="J1008">
            <v>40277999.999238849</v>
          </cell>
          <cell r="K1008">
            <v>0</v>
          </cell>
          <cell r="L1008">
            <v>40277999.999238849</v>
          </cell>
        </row>
        <row r="1009">
          <cell r="B1009" t="str">
            <v>RASK03AC</v>
          </cell>
          <cell r="C1009" t="str">
            <v>Raska, UD</v>
          </cell>
          <cell r="D1009" t="str">
            <v>Moh. Abdul Abidin</v>
          </cell>
          <cell r="E1009" t="str">
            <v>Dsn. Krajan, RT.002/RW.005, Kel. Ampel, Kec. Wuluhan</v>
          </cell>
          <cell r="F1009" t="str">
            <v>Jember</v>
          </cell>
          <cell r="G1009" t="str">
            <v>3509111801980007</v>
          </cell>
          <cell r="H1009" t="str">
            <v>000000000000000</v>
          </cell>
          <cell r="J1009">
            <v>29112799.999911405</v>
          </cell>
          <cell r="K1009">
            <v>0</v>
          </cell>
          <cell r="L1009">
            <v>29112799.999911405</v>
          </cell>
        </row>
        <row r="1010">
          <cell r="B1010" t="str">
            <v>RASK04AC</v>
          </cell>
          <cell r="C1010" t="str">
            <v>Raska, UD</v>
          </cell>
          <cell r="D1010" t="str">
            <v>Candi Amiruddin</v>
          </cell>
          <cell r="E1010" t="str">
            <v>Dsn. Krangkongan, RT.002/RW.013, Kel. Tegalwangi, Kec. Umbulsari</v>
          </cell>
          <cell r="F1010" t="str">
            <v>Jember</v>
          </cell>
          <cell r="G1010" t="str">
            <v>3509051701000001</v>
          </cell>
          <cell r="H1010" t="str">
            <v>000000000000000</v>
          </cell>
          <cell r="J1010">
            <v>35516399.999860279</v>
          </cell>
          <cell r="K1010">
            <v>0</v>
          </cell>
          <cell r="L1010">
            <v>35516399.999860279</v>
          </cell>
        </row>
        <row r="1011">
          <cell r="B1011" t="str">
            <v>RASK05AC</v>
          </cell>
          <cell r="C1011" t="str">
            <v>Raska, UD</v>
          </cell>
          <cell r="D1011" t="str">
            <v>Ryan Dwi Ananta</v>
          </cell>
          <cell r="E1011" t="str">
            <v>Perum Pancoran Mas F-12, RT037/RW.013, Kel. Pancoran, Kec. Bondowoso</v>
          </cell>
          <cell r="F1011" t="str">
            <v>Bondowoso</v>
          </cell>
          <cell r="G1011" t="str">
            <v>3511111607900001</v>
          </cell>
          <cell r="H1011" t="str">
            <v>000000000000000</v>
          </cell>
          <cell r="J1011">
            <v>29230799.999804482</v>
          </cell>
          <cell r="K1011">
            <v>0</v>
          </cell>
          <cell r="L1011">
            <v>29230799.999804482</v>
          </cell>
        </row>
        <row r="1012">
          <cell r="B1012" t="str">
            <v>RASK06AC</v>
          </cell>
          <cell r="C1012" t="str">
            <v>Raska, UD</v>
          </cell>
          <cell r="D1012" t="str">
            <v>Eka Putra W</v>
          </cell>
          <cell r="E1012" t="str">
            <v>Dsn. Wuluhan, RT.001/RW.011, Kel. Dukuh Dempok, Kec. Wuluhan</v>
          </cell>
          <cell r="F1012" t="str">
            <v>Jember</v>
          </cell>
          <cell r="G1012" t="str">
            <v>3509112012920002</v>
          </cell>
          <cell r="H1012" t="str">
            <v>000000000000000</v>
          </cell>
          <cell r="J1012">
            <v>25301999.999978602</v>
          </cell>
          <cell r="K1012">
            <v>0</v>
          </cell>
          <cell r="L1012">
            <v>25301999.999978602</v>
          </cell>
        </row>
        <row r="1013">
          <cell r="B1013" t="str">
            <v>RATU01AC</v>
          </cell>
          <cell r="C1013" t="str">
            <v>Ratu Tani/Yusuf</v>
          </cell>
          <cell r="D1013" t="str">
            <v>Faisal Rusli</v>
          </cell>
          <cell r="E1013" t="str">
            <v>Bunu, Kel. Bubun Lamba, Kec. Anggeraja</v>
          </cell>
          <cell r="F1013" t="str">
            <v>Enrekang</v>
          </cell>
          <cell r="G1013" t="str">
            <v>7316041702970001</v>
          </cell>
          <cell r="H1013" t="str">
            <v>000000000000000</v>
          </cell>
          <cell r="I1013" t="str">
            <v>Pratama Karya Corp, CV ( transaksi Des 2021 Acc orange nama Diulang2 ( Kurang )</v>
          </cell>
          <cell r="J1013">
            <v>0</v>
          </cell>
          <cell r="K1013">
            <v>0</v>
          </cell>
          <cell r="L1013">
            <v>0</v>
          </cell>
        </row>
        <row r="1014">
          <cell r="B1014" t="str">
            <v>RATU02AC</v>
          </cell>
          <cell r="C1014" t="str">
            <v>Ratu Tani/Yusuf</v>
          </cell>
          <cell r="D1014" t="str">
            <v>Fadhil Muhammad Sani</v>
          </cell>
          <cell r="E1014" t="str">
            <v>Dsn. Patila, RT.003/RW.004, Kel. Patila, Kec. Tana Lili</v>
          </cell>
          <cell r="F1014" t="str">
            <v>Luwu Utara</v>
          </cell>
          <cell r="G1014" t="str">
            <v>7322020203970001</v>
          </cell>
          <cell r="H1014" t="str">
            <v>000000000000000</v>
          </cell>
          <cell r="J1014">
            <v>0</v>
          </cell>
          <cell r="K1014">
            <v>0</v>
          </cell>
          <cell r="L1014">
            <v>0</v>
          </cell>
        </row>
        <row r="1015">
          <cell r="B1015" t="str">
            <v>RATU03AC</v>
          </cell>
          <cell r="C1015" t="str">
            <v>Ratu Tani/Yusuf</v>
          </cell>
          <cell r="D1015" t="str">
            <v>Musfianto</v>
          </cell>
          <cell r="E1015" t="str">
            <v>Karangwaru Lor TR II/228 D, RT.056/RW.002, Kel. Karangwaru, Kec. Tegalrejo</v>
          </cell>
          <cell r="F1015" t="str">
            <v>Yogyakarta</v>
          </cell>
          <cell r="G1015" t="str">
            <v>7316052411900004</v>
          </cell>
          <cell r="H1015" t="str">
            <v>000000000000000</v>
          </cell>
          <cell r="J1015">
            <v>0</v>
          </cell>
          <cell r="K1015">
            <v>0</v>
          </cell>
          <cell r="L1015">
            <v>0</v>
          </cell>
        </row>
        <row r="1016">
          <cell r="B1016" t="str">
            <v>RATU04AC</v>
          </cell>
          <cell r="C1016" t="str">
            <v>Ratu Tani/Yusuf</v>
          </cell>
          <cell r="D1016" t="str">
            <v>Usman</v>
          </cell>
          <cell r="E1016" t="str">
            <v>Buntu Limbong, Kel. Buntu Limbong, Kec. Gandangbatu Sillanan</v>
          </cell>
          <cell r="F1016" t="str">
            <v>Tana Toraja</v>
          </cell>
          <cell r="G1016" t="str">
            <v>7316120309920001</v>
          </cell>
          <cell r="H1016" t="str">
            <v>000000000000000</v>
          </cell>
          <cell r="J1016">
            <v>0</v>
          </cell>
          <cell r="K1016">
            <v>0</v>
          </cell>
          <cell r="L1016">
            <v>0</v>
          </cell>
        </row>
        <row r="1017">
          <cell r="B1017" t="str">
            <v>RATU05AC</v>
          </cell>
          <cell r="C1017" t="str">
            <v>Ratu Tani/Yusuf</v>
          </cell>
          <cell r="D1017" t="str">
            <v>Livia</v>
          </cell>
          <cell r="E1017" t="str">
            <v>Sossok, Kel. Mataran, Kec. Anggeraja</v>
          </cell>
          <cell r="F1017" t="str">
            <v>Enrekang</v>
          </cell>
          <cell r="G1017" t="str">
            <v>7316044112970001</v>
          </cell>
          <cell r="H1017" t="str">
            <v>000000000000000</v>
          </cell>
          <cell r="J1017">
            <v>0</v>
          </cell>
          <cell r="K1017">
            <v>0</v>
          </cell>
          <cell r="L1017">
            <v>0</v>
          </cell>
        </row>
        <row r="1018">
          <cell r="B1018" t="str">
            <v>RATU06AC</v>
          </cell>
          <cell r="C1018" t="str">
            <v>Ratu Tani/Yusuf</v>
          </cell>
          <cell r="D1018" t="str">
            <v>Djasman, ST</v>
          </cell>
          <cell r="E1018" t="str">
            <v>Jl. Poros Makassar Tator, RT.002/RW.001, Kel. Kalosi, Kec. Alla</v>
          </cell>
          <cell r="F1018" t="str">
            <v>Enrekang</v>
          </cell>
          <cell r="G1018" t="str">
            <v>7316050409840002</v>
          </cell>
          <cell r="H1018" t="str">
            <v>000000000000000</v>
          </cell>
          <cell r="J1018">
            <v>0</v>
          </cell>
          <cell r="K1018">
            <v>0</v>
          </cell>
          <cell r="L1018">
            <v>0</v>
          </cell>
        </row>
        <row r="1019">
          <cell r="B1019" t="str">
            <v>RATU07AC</v>
          </cell>
          <cell r="C1019" t="str">
            <v>Ratu Tani/Yusuf</v>
          </cell>
          <cell r="D1019" t="str">
            <v>Rusdin</v>
          </cell>
          <cell r="E1019" t="str">
            <v>Baraka, Kel. Tomenawa, Kec. Baraka</v>
          </cell>
          <cell r="F1019" t="str">
            <v>Enrekang</v>
          </cell>
          <cell r="G1019" t="str">
            <v>7316032607830001</v>
          </cell>
          <cell r="H1019" t="str">
            <v>000000000000000</v>
          </cell>
          <cell r="J1019">
            <v>0</v>
          </cell>
          <cell r="K1019">
            <v>0</v>
          </cell>
          <cell r="L1019">
            <v>0</v>
          </cell>
        </row>
        <row r="1020">
          <cell r="B1020" t="str">
            <v>RATU08AC</v>
          </cell>
          <cell r="C1020" t="str">
            <v>Ratu Tani/Yusuf</v>
          </cell>
          <cell r="D1020" t="str">
            <v>Reski Ananda</v>
          </cell>
          <cell r="E1020" t="str">
            <v>Bolong, Kel. Bolong, Kec. Walenrang Utara</v>
          </cell>
          <cell r="F1020" t="str">
            <v>Luwu</v>
          </cell>
          <cell r="G1020" t="str">
            <v>7401045210990003</v>
          </cell>
          <cell r="H1020" t="str">
            <v>000000000000000</v>
          </cell>
          <cell r="J1020">
            <v>0</v>
          </cell>
          <cell r="K1020">
            <v>0</v>
          </cell>
          <cell r="L1020">
            <v>0</v>
          </cell>
        </row>
        <row r="1021">
          <cell r="B1021" t="str">
            <v>RATU09AC</v>
          </cell>
          <cell r="C1021" t="str">
            <v>Ratu Tani/Yusuf</v>
          </cell>
          <cell r="D1021" t="str">
            <v>Nasri Nada</v>
          </cell>
          <cell r="E1021" t="str">
            <v>Tampang, Kel. Tirowali, Kec. Baraka</v>
          </cell>
          <cell r="F1021" t="str">
            <v>Enrekang</v>
          </cell>
          <cell r="G1021" t="str">
            <v>7316032511800001</v>
          </cell>
          <cell r="H1021" t="str">
            <v>000000000000000</v>
          </cell>
          <cell r="J1021">
            <v>0</v>
          </cell>
          <cell r="K1021">
            <v>0</v>
          </cell>
          <cell r="L1021">
            <v>0</v>
          </cell>
        </row>
        <row r="1022">
          <cell r="B1022" t="str">
            <v>RATU10AC</v>
          </cell>
          <cell r="C1022" t="str">
            <v>Ratu Tani/Yusuf</v>
          </cell>
          <cell r="D1022" t="str">
            <v>Ardiansyah</v>
          </cell>
          <cell r="E1022" t="str">
            <v>Baraka, Kel. Tomenawa, Kec. Baraka</v>
          </cell>
          <cell r="F1022" t="str">
            <v>Enrekang</v>
          </cell>
          <cell r="G1022" t="str">
            <v>7316032211940001</v>
          </cell>
          <cell r="H1022" t="str">
            <v>000000000000000</v>
          </cell>
          <cell r="J1022">
            <v>0</v>
          </cell>
          <cell r="K1022">
            <v>0</v>
          </cell>
          <cell r="L1022">
            <v>0</v>
          </cell>
        </row>
        <row r="1023">
          <cell r="B1023" t="str">
            <v>RATU11AC</v>
          </cell>
          <cell r="C1023" t="str">
            <v>Ratu Tani/Yusuf</v>
          </cell>
          <cell r="D1023" t="str">
            <v>Yasmin Tadjuddin</v>
          </cell>
          <cell r="E1023" t="str">
            <v>Belajen Utara, Kel. Kambiolangi, Kec. Alla</v>
          </cell>
          <cell r="F1023" t="str">
            <v>Enrekang</v>
          </cell>
          <cell r="G1023" t="str">
            <v>7316052307870004</v>
          </cell>
          <cell r="H1023" t="str">
            <v>000000000000000</v>
          </cell>
          <cell r="J1023">
            <v>0</v>
          </cell>
          <cell r="K1023">
            <v>0</v>
          </cell>
          <cell r="L1023">
            <v>0</v>
          </cell>
        </row>
        <row r="1024">
          <cell r="B1024" t="str">
            <v>REPL01AC</v>
          </cell>
          <cell r="C1024" t="str">
            <v>Replacement</v>
          </cell>
          <cell r="D1024" t="str">
            <v>Dian Suprapto</v>
          </cell>
          <cell r="E1024" t="str">
            <v>Purworejo, RT.006/RT.001, Kel. Kalipait, Kec. Tegaldlimo</v>
          </cell>
          <cell r="F1024" t="str">
            <v>Banyuwangi</v>
          </cell>
          <cell r="G1024" t="str">
            <v>3510041112830002</v>
          </cell>
          <cell r="H1024" t="str">
            <v>000000000000000</v>
          </cell>
          <cell r="I1024" t="str">
            <v>REPLACEMENT</v>
          </cell>
          <cell r="J1024">
            <v>0</v>
          </cell>
          <cell r="K1024">
            <v>0</v>
          </cell>
          <cell r="L1024">
            <v>0</v>
          </cell>
        </row>
        <row r="1025">
          <cell r="B1025" t="str">
            <v>REPL02AC</v>
          </cell>
          <cell r="C1025" t="str">
            <v>Replacement</v>
          </cell>
          <cell r="D1025" t="str">
            <v>Supeno</v>
          </cell>
          <cell r="E1025" t="str">
            <v>Purworejo, RT.008/RT.001, Kel. Kalipait, Kec. Tegaldlimo</v>
          </cell>
          <cell r="F1025" t="str">
            <v>Banyuwangi</v>
          </cell>
          <cell r="G1025" t="str">
            <v>3510041307730002</v>
          </cell>
          <cell r="H1025" t="str">
            <v>000000000000000</v>
          </cell>
          <cell r="I1025" t="str">
            <v>REPLACEMENT</v>
          </cell>
          <cell r="J1025">
            <v>0</v>
          </cell>
          <cell r="K1025">
            <v>0</v>
          </cell>
          <cell r="L1025">
            <v>0</v>
          </cell>
        </row>
        <row r="1026">
          <cell r="B1026" t="str">
            <v>REPL03AC</v>
          </cell>
          <cell r="C1026" t="str">
            <v>Replacement</v>
          </cell>
          <cell r="D1026" t="str">
            <v>A.M.Manir</v>
          </cell>
          <cell r="E1026" t="str">
            <v>Dusun Temurejo, RT.003/RW.004, Kel. Kembiritan, Kec. Genteng</v>
          </cell>
          <cell r="F1026" t="str">
            <v>Banyuwangi</v>
          </cell>
          <cell r="G1026" t="str">
            <v>3510090306650010</v>
          </cell>
          <cell r="H1026" t="str">
            <v>000000000000000</v>
          </cell>
          <cell r="I1026" t="str">
            <v>REPLACEMENT</v>
          </cell>
          <cell r="J1026">
            <v>0</v>
          </cell>
          <cell r="K1026">
            <v>0</v>
          </cell>
          <cell r="L1026">
            <v>0</v>
          </cell>
        </row>
        <row r="1027">
          <cell r="B1027" t="str">
            <v>REPL04AC</v>
          </cell>
          <cell r="C1027" t="str">
            <v>Replacement</v>
          </cell>
          <cell r="D1027" t="str">
            <v>Nismah</v>
          </cell>
          <cell r="E1027" t="str">
            <v>Jl. Argopuro 37 Rambigundam, RT.005/RW.002, Kel. Rambigundam, Kec. Rambipuji</v>
          </cell>
          <cell r="F1027" t="str">
            <v>Jember</v>
          </cell>
          <cell r="G1027" t="str">
            <v>3509134706830003</v>
          </cell>
          <cell r="H1027" t="str">
            <v>000000000000000</v>
          </cell>
          <cell r="I1027" t="str">
            <v>REPLACEMENT</v>
          </cell>
          <cell r="J1027">
            <v>0</v>
          </cell>
          <cell r="K1027">
            <v>0</v>
          </cell>
          <cell r="L1027">
            <v>0</v>
          </cell>
        </row>
        <row r="1028">
          <cell r="B1028" t="str">
            <v>REPL05AC</v>
          </cell>
          <cell r="C1028" t="str">
            <v>Replacement</v>
          </cell>
          <cell r="D1028" t="str">
            <v>Sapari</v>
          </cell>
          <cell r="E1028" t="str">
            <v>Dsn. Krajan, RT.001/RW.001, Kel. Kaliwining, Kec. Rambipuji</v>
          </cell>
          <cell r="F1028" t="str">
            <v>Jember</v>
          </cell>
          <cell r="G1028" t="str">
            <v>3509130508700006</v>
          </cell>
          <cell r="H1028" t="str">
            <v>000000000000000</v>
          </cell>
          <cell r="I1028" t="str">
            <v>REPLACEMENT</v>
          </cell>
          <cell r="J1028">
            <v>0</v>
          </cell>
          <cell r="K1028">
            <v>0</v>
          </cell>
          <cell r="L1028">
            <v>0</v>
          </cell>
        </row>
        <row r="1029">
          <cell r="B1029" t="str">
            <v>RIZK01AC</v>
          </cell>
          <cell r="C1029" t="str">
            <v>Rizkina/Yasin, H</v>
          </cell>
          <cell r="D1029" t="str">
            <v>Panuji</v>
          </cell>
          <cell r="E1029" t="str">
            <v>Dsn. Bingungan, RT.002/RW.006, Kel. Kedungpadang, Kec. Rejoso</v>
          </cell>
          <cell r="F1029" t="str">
            <v>Nganjuk</v>
          </cell>
          <cell r="G1029" t="str">
            <v>3518161507860002</v>
          </cell>
          <cell r="H1029" t="str">
            <v>000000000000000</v>
          </cell>
          <cell r="J1029">
            <v>0</v>
          </cell>
          <cell r="K1029">
            <v>0</v>
          </cell>
          <cell r="L1029">
            <v>0</v>
          </cell>
        </row>
        <row r="1030">
          <cell r="B1030" t="str">
            <v>RUKU01AC</v>
          </cell>
          <cell r="C1030" t="str">
            <v>Rukun Tani/Rojimin</v>
          </cell>
          <cell r="D1030" t="str">
            <v>Mat Sayuti</v>
          </cell>
          <cell r="E1030" t="str">
            <v>Dusun Jati, RT.003/RW.003, Mergayu, Bandung</v>
          </cell>
          <cell r="F1030" t="str">
            <v>Tulungagung</v>
          </cell>
          <cell r="G1030" t="str">
            <v>3504170201620001</v>
          </cell>
          <cell r="H1030" t="str">
            <v>000000000000000</v>
          </cell>
          <cell r="J1030">
            <v>0</v>
          </cell>
          <cell r="K1030">
            <v>0</v>
          </cell>
          <cell r="L1030">
            <v>0</v>
          </cell>
        </row>
        <row r="1031">
          <cell r="B1031" t="str">
            <v>AMIR01AC</v>
          </cell>
          <cell r="C1031" t="str">
            <v>Sahabat Tani, UD/Amirudin</v>
          </cell>
          <cell r="D1031" t="str">
            <v>A. Rajak</v>
          </cell>
          <cell r="E1031" t="str">
            <v>Dsn. Karombo I, RT.003/RW.002, Kel. Nangammiro, Kec. Pekat</v>
          </cell>
          <cell r="F1031" t="str">
            <v>Dompu</v>
          </cell>
          <cell r="G1031" t="str">
            <v>5205060107680224</v>
          </cell>
          <cell r="H1031" t="str">
            <v>000000000000000</v>
          </cell>
          <cell r="J1031">
            <v>0</v>
          </cell>
          <cell r="K1031">
            <v>0</v>
          </cell>
          <cell r="L1031">
            <v>0</v>
          </cell>
        </row>
        <row r="1032">
          <cell r="B1032" t="str">
            <v>AMIR02AC</v>
          </cell>
          <cell r="C1032" t="str">
            <v>Sahabat Tani, UD/Amirudin</v>
          </cell>
          <cell r="D1032" t="str">
            <v>Adiman</v>
          </cell>
          <cell r="E1032" t="str">
            <v>Dsn. Karombo I, Kel. Nangammiro, Kec. Pekat</v>
          </cell>
          <cell r="F1032" t="str">
            <v>Dompu</v>
          </cell>
          <cell r="G1032" t="str">
            <v>5205060604840003</v>
          </cell>
          <cell r="H1032" t="str">
            <v>000000000000000</v>
          </cell>
          <cell r="J1032">
            <v>0</v>
          </cell>
          <cell r="K1032">
            <v>0</v>
          </cell>
          <cell r="L1032">
            <v>0</v>
          </cell>
        </row>
        <row r="1033">
          <cell r="B1033" t="str">
            <v>AMIR03AC</v>
          </cell>
          <cell r="C1033" t="str">
            <v>Sahabat Tani, UD/Amirudin</v>
          </cell>
          <cell r="D1033" t="str">
            <v>Agus Ramdan</v>
          </cell>
          <cell r="E1033" t="str">
            <v>Dsn. Soridei, RT.003/Rw.001, Nangammiro, Pekat</v>
          </cell>
          <cell r="F1033" t="str">
            <v>Dompu</v>
          </cell>
          <cell r="G1033" t="str">
            <v>5205060107870190</v>
          </cell>
          <cell r="H1033" t="str">
            <v>000000000000000</v>
          </cell>
          <cell r="J1033">
            <v>0</v>
          </cell>
          <cell r="K1033">
            <v>0</v>
          </cell>
          <cell r="L1033">
            <v>0</v>
          </cell>
        </row>
        <row r="1034">
          <cell r="B1034" t="str">
            <v>AMIR04AC</v>
          </cell>
          <cell r="C1034" t="str">
            <v>Sahabat Tani, UD/Amirudin</v>
          </cell>
          <cell r="D1034" t="str">
            <v>Ahmadin</v>
          </cell>
          <cell r="E1034" t="str">
            <v>Dsn. Ladore, RT.002/RW.001, Kel. Karombo, Kec. Pekat</v>
          </cell>
          <cell r="F1034" t="str">
            <v>Dompu</v>
          </cell>
          <cell r="G1034" t="str">
            <v>5205060707880003</v>
          </cell>
          <cell r="H1034" t="str">
            <v>000000000000000</v>
          </cell>
          <cell r="J1034">
            <v>0</v>
          </cell>
          <cell r="K1034">
            <v>0</v>
          </cell>
          <cell r="L1034">
            <v>0</v>
          </cell>
        </row>
        <row r="1035">
          <cell r="B1035" t="str">
            <v>AMIR05AC</v>
          </cell>
          <cell r="C1035" t="str">
            <v>Sahabat Tani, UD/Amirudin</v>
          </cell>
          <cell r="D1035" t="str">
            <v>Aidin</v>
          </cell>
          <cell r="E1035" t="str">
            <v>Dsn. Ladore, RT.001/RW.001, Kel. Nangammiro, Kec. Pekat</v>
          </cell>
          <cell r="F1035" t="str">
            <v>Dompu</v>
          </cell>
          <cell r="G1035" t="str">
            <v>5205060107740191</v>
          </cell>
          <cell r="H1035" t="str">
            <v>000000000000000</v>
          </cell>
          <cell r="J1035">
            <v>0</v>
          </cell>
          <cell r="K1035">
            <v>0</v>
          </cell>
          <cell r="L1035">
            <v>0</v>
          </cell>
        </row>
        <row r="1036">
          <cell r="B1036" t="str">
            <v>AMIR06AC</v>
          </cell>
          <cell r="C1036" t="str">
            <v>Sahabat Tani, UD/Amirudin</v>
          </cell>
          <cell r="D1036" t="str">
            <v>Arfin</v>
          </cell>
          <cell r="E1036" t="str">
            <v>Dsn. Ladore, RT.002/RW.001, Kel. Karombo, Kec. Pekat</v>
          </cell>
          <cell r="F1036" t="str">
            <v>Dompu</v>
          </cell>
          <cell r="G1036" t="str">
            <v>5205061511760001</v>
          </cell>
          <cell r="H1036" t="str">
            <v>000000000000000</v>
          </cell>
          <cell r="J1036">
            <v>0</v>
          </cell>
          <cell r="K1036">
            <v>0</v>
          </cell>
          <cell r="L1036">
            <v>0</v>
          </cell>
        </row>
        <row r="1037">
          <cell r="B1037" t="str">
            <v>AMIR07AC</v>
          </cell>
          <cell r="C1037" t="str">
            <v>Sahabat Tani, UD/Amirudin</v>
          </cell>
          <cell r="D1037" t="str">
            <v>Arif Budiman</v>
          </cell>
          <cell r="E1037" t="str">
            <v>Dsn. Karombo I, RT.001/RW.001, Kel. Nangamiro, Kec. Pekat</v>
          </cell>
          <cell r="F1037" t="str">
            <v>Dompu</v>
          </cell>
          <cell r="G1037" t="str">
            <v>5205062002960001</v>
          </cell>
          <cell r="H1037" t="str">
            <v>000000000000000</v>
          </cell>
          <cell r="J1037">
            <v>0</v>
          </cell>
          <cell r="K1037">
            <v>0</v>
          </cell>
          <cell r="L1037">
            <v>0</v>
          </cell>
        </row>
        <row r="1038">
          <cell r="B1038" t="str">
            <v>AMIR08AC</v>
          </cell>
          <cell r="C1038" t="str">
            <v>Sahabat Tani, UD/Amirudin</v>
          </cell>
          <cell r="D1038" t="str">
            <v>Saiful Adha</v>
          </cell>
          <cell r="E1038" t="str">
            <v>Dsn. Soridei, RT.001/RW.001, Kel.Karombo, Kec. Pekat</v>
          </cell>
          <cell r="F1038" t="str">
            <v>Dompu</v>
          </cell>
          <cell r="G1038" t="str">
            <v>5205062512910001</v>
          </cell>
          <cell r="H1038" t="str">
            <v>000000000000000</v>
          </cell>
          <cell r="J1038">
            <v>0</v>
          </cell>
          <cell r="K1038">
            <v>0</v>
          </cell>
          <cell r="L1038">
            <v>0</v>
          </cell>
        </row>
        <row r="1039">
          <cell r="B1039" t="str">
            <v>AMIR09AC</v>
          </cell>
          <cell r="C1039" t="str">
            <v>Sahabat Tani, UD/Amirudin</v>
          </cell>
          <cell r="D1039" t="str">
            <v>Junaedin</v>
          </cell>
          <cell r="E1039" t="str">
            <v>Dsn. Soridei, RT.001/RW.001, Kel. Nangamiro, Kec. Pekat</v>
          </cell>
          <cell r="F1039" t="str">
            <v>Dompu</v>
          </cell>
          <cell r="G1039" t="str">
            <v>5205060210800001</v>
          </cell>
          <cell r="H1039" t="str">
            <v>000000000000000</v>
          </cell>
          <cell r="J1039">
            <v>0</v>
          </cell>
          <cell r="K1039">
            <v>0</v>
          </cell>
          <cell r="L1039">
            <v>0</v>
          </cell>
        </row>
        <row r="1040">
          <cell r="B1040" t="str">
            <v>AMIR10AC</v>
          </cell>
          <cell r="C1040" t="str">
            <v>Sahabat Tani, UD/Amirudin</v>
          </cell>
          <cell r="D1040" t="str">
            <v>Suhirman</v>
          </cell>
          <cell r="E1040" t="str">
            <v>Dsn. Sori Dei, RT.001/RW.001, Kel. Nangammiro, Kec. Pekat</v>
          </cell>
          <cell r="F1040" t="str">
            <v>Dompu</v>
          </cell>
          <cell r="G1040" t="str">
            <v>5205060107850327</v>
          </cell>
          <cell r="H1040" t="str">
            <v>000000000000000</v>
          </cell>
          <cell r="J1040">
            <v>0</v>
          </cell>
          <cell r="K1040">
            <v>0</v>
          </cell>
          <cell r="L1040">
            <v>0</v>
          </cell>
        </row>
        <row r="1041">
          <cell r="B1041" t="str">
            <v>AMIR11AC</v>
          </cell>
          <cell r="C1041" t="str">
            <v>Sahabat Tani, UD/Amirudin</v>
          </cell>
          <cell r="D1041" t="str">
            <v>Sumardi</v>
          </cell>
          <cell r="E1041" t="str">
            <v>Dsn. Karombo, Ds. Nangamiro, RT.002/RW.001, Kel. Nangammiro, Kec. Pekat</v>
          </cell>
          <cell r="F1041" t="str">
            <v>Dompu</v>
          </cell>
          <cell r="G1041" t="str">
            <v>5205061106760002</v>
          </cell>
          <cell r="H1041" t="str">
            <v>000000000000000</v>
          </cell>
          <cell r="J1041">
            <v>0</v>
          </cell>
          <cell r="K1041">
            <v>0</v>
          </cell>
          <cell r="L1041">
            <v>0</v>
          </cell>
        </row>
        <row r="1042">
          <cell r="B1042" t="str">
            <v>AMIR12AC</v>
          </cell>
          <cell r="C1042" t="str">
            <v>Sahabat Tani, UD/Amirudin</v>
          </cell>
          <cell r="D1042" t="str">
            <v>Sabrang</v>
          </cell>
          <cell r="E1042" t="str">
            <v>Dsn. Karombo, RT.003/RW.001, Kel. Karombo, Kec. Pekat</v>
          </cell>
          <cell r="F1042" t="str">
            <v>Dompu</v>
          </cell>
          <cell r="G1042" t="str">
            <v>5205060606770001</v>
          </cell>
          <cell r="H1042" t="str">
            <v>000000000000000</v>
          </cell>
          <cell r="J1042">
            <v>0</v>
          </cell>
          <cell r="K1042">
            <v>0</v>
          </cell>
          <cell r="L1042">
            <v>0</v>
          </cell>
        </row>
        <row r="1043">
          <cell r="B1043" t="str">
            <v>AMIR13AC</v>
          </cell>
          <cell r="C1043" t="str">
            <v>Sahabat Tani, UD/Amirudin</v>
          </cell>
          <cell r="D1043" t="str">
            <v>Ikhsan</v>
          </cell>
          <cell r="E1043" t="str">
            <v>Dsn. Karombo, Ds. Nangamiro, RT.001/RW.001, Kel. Nangammiro, Kec. Pekat</v>
          </cell>
          <cell r="F1043" t="str">
            <v>Dompu</v>
          </cell>
          <cell r="G1043" t="str">
            <v>5205060707770001</v>
          </cell>
          <cell r="H1043" t="str">
            <v>000000000000000</v>
          </cell>
          <cell r="J1043">
            <v>0</v>
          </cell>
          <cell r="K1043">
            <v>0</v>
          </cell>
          <cell r="L1043">
            <v>0</v>
          </cell>
        </row>
        <row r="1044">
          <cell r="B1044" t="str">
            <v>AMIR14AC</v>
          </cell>
          <cell r="C1044" t="str">
            <v>Sahabat Tani, UD/Amirudin</v>
          </cell>
          <cell r="D1044" t="str">
            <v>Arwan</v>
          </cell>
          <cell r="E1044" t="str">
            <v>Dusun Ladore, RT.003/RW.002, Kel. Karombo, Kec. Pekat</v>
          </cell>
          <cell r="F1044" t="str">
            <v>Dompu</v>
          </cell>
          <cell r="G1044" t="str">
            <v>5205060511750003</v>
          </cell>
          <cell r="H1044" t="str">
            <v>000000000000000</v>
          </cell>
          <cell r="J1044">
            <v>0</v>
          </cell>
          <cell r="K1044">
            <v>0</v>
          </cell>
          <cell r="L1044">
            <v>0</v>
          </cell>
        </row>
        <row r="1045">
          <cell r="B1045" t="str">
            <v>AMIR15AC</v>
          </cell>
          <cell r="C1045" t="str">
            <v>Sahabat Tani, UD/Amirudin</v>
          </cell>
          <cell r="D1045" t="str">
            <v>Damsul</v>
          </cell>
          <cell r="E1045" t="str">
            <v>Dusun Karombo I, RT.001/RW.001, Kel. Nangammiro, Kec. Pekat</v>
          </cell>
          <cell r="F1045" t="str">
            <v>Dompu</v>
          </cell>
          <cell r="G1045" t="str">
            <v>5205060708850001</v>
          </cell>
          <cell r="H1045" t="str">
            <v>000000000000000</v>
          </cell>
          <cell r="J1045">
            <v>0</v>
          </cell>
          <cell r="K1045">
            <v>0</v>
          </cell>
          <cell r="L1045">
            <v>0</v>
          </cell>
        </row>
        <row r="1046">
          <cell r="B1046" t="str">
            <v>AMIR16AC</v>
          </cell>
          <cell r="C1046" t="str">
            <v>Sahabat Tani, UD/Amirudin</v>
          </cell>
          <cell r="D1046" t="str">
            <v>Dewi Andriani</v>
          </cell>
          <cell r="E1046" t="str">
            <v>Dusun Karombo I, RT.001/RW.001, Kel. Karombo, Kec. Pekat</v>
          </cell>
          <cell r="F1046" t="str">
            <v>Dompu</v>
          </cell>
          <cell r="G1046" t="str">
            <v>5205066003940002</v>
          </cell>
          <cell r="H1046" t="str">
            <v>000000000000000</v>
          </cell>
          <cell r="J1046">
            <v>0</v>
          </cell>
          <cell r="K1046">
            <v>0</v>
          </cell>
          <cell r="L1046">
            <v>0</v>
          </cell>
        </row>
        <row r="1047">
          <cell r="B1047" t="str">
            <v>AMIR17AC</v>
          </cell>
          <cell r="C1047" t="str">
            <v>Sahabat Tani, UD/Amirudin</v>
          </cell>
          <cell r="D1047" t="str">
            <v>Firman</v>
          </cell>
          <cell r="E1047" t="str">
            <v>Dusun Karombo I, RT.004/RW.001, Kel. Karombo, Kec. Pekat</v>
          </cell>
          <cell r="F1047" t="str">
            <v>Dompu</v>
          </cell>
          <cell r="G1047" t="str">
            <v>5205060107900295</v>
          </cell>
          <cell r="H1047" t="str">
            <v>000000000000000</v>
          </cell>
          <cell r="J1047">
            <v>0</v>
          </cell>
          <cell r="K1047">
            <v>0</v>
          </cell>
          <cell r="L1047">
            <v>0</v>
          </cell>
        </row>
        <row r="1048">
          <cell r="B1048" t="str">
            <v>AMIR18AC</v>
          </cell>
          <cell r="C1048" t="str">
            <v>Sahabat Tani, UD/Amirudin</v>
          </cell>
          <cell r="D1048" t="str">
            <v>Hariswan</v>
          </cell>
          <cell r="E1048" t="str">
            <v>Dusun Karombo, RT.001/RW.004, Kel. Karombo, Kec. Pekat</v>
          </cell>
          <cell r="F1048" t="str">
            <v>Dompu</v>
          </cell>
          <cell r="G1048" t="str">
            <v>5205061001820004</v>
          </cell>
          <cell r="H1048" t="str">
            <v>000000000000000</v>
          </cell>
          <cell r="J1048">
            <v>0</v>
          </cell>
          <cell r="K1048">
            <v>0</v>
          </cell>
          <cell r="L1048">
            <v>0</v>
          </cell>
        </row>
        <row r="1049">
          <cell r="B1049" t="str">
            <v>AMIR19AC</v>
          </cell>
          <cell r="C1049" t="str">
            <v>Sahabat Tani, UD/Amirudin</v>
          </cell>
          <cell r="D1049" t="str">
            <v>Irwandi</v>
          </cell>
          <cell r="E1049" t="str">
            <v>Link. Sembalun, RT.001/RW.179, Kel. Tanjung Karang, Kec. Sekarbela</v>
          </cell>
          <cell r="F1049" t="str">
            <v>Dompu</v>
          </cell>
          <cell r="G1049" t="str">
            <v>5271042102870004</v>
          </cell>
          <cell r="H1049" t="str">
            <v>000000000000000</v>
          </cell>
          <cell r="J1049">
            <v>0</v>
          </cell>
          <cell r="K1049">
            <v>0</v>
          </cell>
          <cell r="L1049">
            <v>0</v>
          </cell>
        </row>
        <row r="1050">
          <cell r="B1050" t="str">
            <v>AMIR20AC</v>
          </cell>
          <cell r="C1050" t="str">
            <v>Sahabat Tani, UD/Amirudin</v>
          </cell>
          <cell r="D1050" t="str">
            <v>Ishaq</v>
          </cell>
          <cell r="E1050" t="str">
            <v>Dusun Karombo II, RT.001/RW.001, Kel. Karombo, Kec. Pekat</v>
          </cell>
          <cell r="F1050" t="str">
            <v>Dompu</v>
          </cell>
          <cell r="G1050" t="str">
            <v>5205060601910002</v>
          </cell>
          <cell r="H1050" t="str">
            <v>000000000000000</v>
          </cell>
          <cell r="J1050">
            <v>0</v>
          </cell>
          <cell r="K1050">
            <v>0</v>
          </cell>
          <cell r="L1050">
            <v>0</v>
          </cell>
        </row>
        <row r="1051">
          <cell r="B1051" t="str">
            <v>AMIR21AC</v>
          </cell>
          <cell r="C1051" t="str">
            <v>Sahabat Tani, UD/Amirudin</v>
          </cell>
          <cell r="D1051" t="str">
            <v>M. Nor</v>
          </cell>
          <cell r="E1051" t="str">
            <v>Dusun Ladore, RT.001/RW.001, Kel. Nangammiro, Kec. Pekat</v>
          </cell>
          <cell r="F1051" t="str">
            <v>Dompu</v>
          </cell>
          <cell r="G1051" t="str">
            <v>5205061201600002</v>
          </cell>
          <cell r="H1051" t="str">
            <v>000000000000000</v>
          </cell>
          <cell r="J1051">
            <v>0</v>
          </cell>
          <cell r="K1051">
            <v>0</v>
          </cell>
          <cell r="L1051">
            <v>0</v>
          </cell>
        </row>
        <row r="1052">
          <cell r="B1052" t="str">
            <v>AMIR22AC</v>
          </cell>
          <cell r="C1052" t="str">
            <v>Sahabat Tani, UD/Amirudin</v>
          </cell>
          <cell r="D1052" t="str">
            <v>Muhidin</v>
          </cell>
          <cell r="E1052" t="str">
            <v>Dusun Karombo, RT.001/RW.001, Kel. Nangammiro, Kec. Pekat</v>
          </cell>
          <cell r="F1052" t="str">
            <v>Dompu</v>
          </cell>
          <cell r="G1052" t="str">
            <v>5205060107770272</v>
          </cell>
          <cell r="H1052" t="str">
            <v>000000000000000</v>
          </cell>
          <cell r="J1052">
            <v>0</v>
          </cell>
          <cell r="K1052">
            <v>0</v>
          </cell>
          <cell r="L1052">
            <v>0</v>
          </cell>
        </row>
        <row r="1053">
          <cell r="B1053" t="str">
            <v>AMIR23AC</v>
          </cell>
          <cell r="C1053" t="str">
            <v>Sahabat Tani, UD/Amirudin</v>
          </cell>
          <cell r="D1053" t="str">
            <v>Sumardin</v>
          </cell>
          <cell r="E1053" t="str">
            <v>Dusun Karombo I, RT.002/RW.001, Kel. Nangammiro, Kec. Pekat</v>
          </cell>
          <cell r="F1053" t="str">
            <v>Dompu</v>
          </cell>
          <cell r="G1053" t="str">
            <v>5205061505770001</v>
          </cell>
          <cell r="H1053" t="str">
            <v>000000000000000</v>
          </cell>
          <cell r="J1053">
            <v>0</v>
          </cell>
          <cell r="K1053">
            <v>0</v>
          </cell>
          <cell r="L1053">
            <v>0</v>
          </cell>
        </row>
        <row r="1054">
          <cell r="B1054" t="str">
            <v>AMIR24AC</v>
          </cell>
          <cell r="C1054" t="str">
            <v>Sahabat Tani, UD/Amirudin</v>
          </cell>
          <cell r="D1054" t="str">
            <v>Salahudin</v>
          </cell>
          <cell r="E1054" t="str">
            <v>Dusun Karombo I, RT.004/RW.002, Kel. Karombo, Kec. Pekat</v>
          </cell>
          <cell r="F1054" t="str">
            <v>Dompu</v>
          </cell>
          <cell r="G1054" t="str">
            <v>5205060107800391</v>
          </cell>
          <cell r="H1054" t="str">
            <v>000000000000000</v>
          </cell>
          <cell r="J1054">
            <v>0</v>
          </cell>
          <cell r="K1054">
            <v>0</v>
          </cell>
          <cell r="L1054">
            <v>0</v>
          </cell>
        </row>
        <row r="1055">
          <cell r="B1055" t="str">
            <v>AMIR25AC</v>
          </cell>
          <cell r="C1055" t="str">
            <v>Sahabat Tani, UD/Amirudin</v>
          </cell>
          <cell r="D1055" t="str">
            <v>M. Yasin</v>
          </cell>
          <cell r="E1055" t="str">
            <v>Dusun Soridei, RT.002/RW.001, Kel. Karombo, Kec. Pekat</v>
          </cell>
          <cell r="F1055" t="str">
            <v>Dompu</v>
          </cell>
          <cell r="G1055" t="str">
            <v>5205060107870192</v>
          </cell>
          <cell r="H1055" t="str">
            <v>000000000000000</v>
          </cell>
          <cell r="J1055">
            <v>0</v>
          </cell>
          <cell r="K1055">
            <v>0</v>
          </cell>
          <cell r="L1055">
            <v>0</v>
          </cell>
        </row>
        <row r="1056">
          <cell r="B1056" t="str">
            <v>AMIR26AC</v>
          </cell>
          <cell r="C1056" t="str">
            <v>Sahabat Tani, UD/Amirudin</v>
          </cell>
          <cell r="D1056" t="str">
            <v>M. Idris</v>
          </cell>
          <cell r="E1056" t="str">
            <v>Dusun Sori Dei, RT.003/RW.001, Kel. Nangammiro, Kec. Pekat</v>
          </cell>
          <cell r="F1056" t="str">
            <v>Dompu</v>
          </cell>
          <cell r="G1056" t="str">
            <v>5205061403970002</v>
          </cell>
          <cell r="H1056" t="str">
            <v>000000000000000</v>
          </cell>
          <cell r="J1056">
            <v>0</v>
          </cell>
          <cell r="K1056">
            <v>0</v>
          </cell>
          <cell r="L1056">
            <v>0</v>
          </cell>
        </row>
        <row r="1057">
          <cell r="B1057" t="str">
            <v>AMIR27AC</v>
          </cell>
          <cell r="C1057" t="str">
            <v>Sahabat Tani, UD/Amirudin</v>
          </cell>
          <cell r="D1057" t="str">
            <v>Suharno Putra S</v>
          </cell>
          <cell r="E1057" t="str">
            <v>Dusun Ladore, RT.001/RW.002, Kel. Karombo, Kec. Pekat</v>
          </cell>
          <cell r="F1057" t="str">
            <v>Dompu</v>
          </cell>
          <cell r="G1057" t="str">
            <v>5204181007960001</v>
          </cell>
          <cell r="H1057" t="str">
            <v>000000000000000</v>
          </cell>
          <cell r="J1057">
            <v>0</v>
          </cell>
          <cell r="K1057">
            <v>0</v>
          </cell>
          <cell r="L1057">
            <v>0</v>
          </cell>
        </row>
        <row r="1058">
          <cell r="B1058" t="str">
            <v>AMIR28AC</v>
          </cell>
          <cell r="C1058" t="str">
            <v>Sahabat Tani, UD/Amirudin</v>
          </cell>
          <cell r="D1058" t="str">
            <v>Suparno</v>
          </cell>
          <cell r="E1058" t="str">
            <v>Dusun Karombo I, RT.001/RW.003, Kel. Karombo, Kec. Pekat</v>
          </cell>
          <cell r="F1058" t="str">
            <v>Dompu</v>
          </cell>
          <cell r="G1058" t="str">
            <v>5205060107750244</v>
          </cell>
          <cell r="H1058" t="str">
            <v>000000000000000</v>
          </cell>
          <cell r="J1058">
            <v>0</v>
          </cell>
          <cell r="K1058">
            <v>0</v>
          </cell>
          <cell r="L1058">
            <v>0</v>
          </cell>
        </row>
        <row r="1059">
          <cell r="B1059" t="str">
            <v>AMIR29AC</v>
          </cell>
          <cell r="C1059" t="str">
            <v>Sahabat Tani, UD/Amirudin</v>
          </cell>
          <cell r="D1059" t="str">
            <v>Syahrul</v>
          </cell>
          <cell r="E1059" t="str">
            <v>Dusun Karombo I, RT.001/RW.001, Kel. Nangammiro, Kec. Pekat</v>
          </cell>
          <cell r="F1059" t="str">
            <v>Dompu</v>
          </cell>
          <cell r="G1059" t="str">
            <v>5205060107690166</v>
          </cell>
          <cell r="H1059" t="str">
            <v>000000000000000</v>
          </cell>
          <cell r="J1059">
            <v>0</v>
          </cell>
          <cell r="K1059">
            <v>0</v>
          </cell>
          <cell r="L1059">
            <v>0</v>
          </cell>
        </row>
        <row r="1060">
          <cell r="B1060" t="str">
            <v>AMIR30AC</v>
          </cell>
          <cell r="C1060" t="str">
            <v>Sahabat Tani, UD/Amirudin</v>
          </cell>
          <cell r="D1060" t="str">
            <v>Sukardi</v>
          </cell>
          <cell r="E1060" t="str">
            <v>Dusun Karombo Desa Nangamiro, RT.001/RW.001, Kel. Nangammiro, Kec. Pekat</v>
          </cell>
          <cell r="F1060" t="str">
            <v>Dompu</v>
          </cell>
          <cell r="G1060" t="str">
            <v>5205060806770002</v>
          </cell>
          <cell r="H1060" t="str">
            <v>000000000000000</v>
          </cell>
          <cell r="J1060">
            <v>0</v>
          </cell>
          <cell r="K1060">
            <v>0</v>
          </cell>
          <cell r="L1060">
            <v>0</v>
          </cell>
        </row>
        <row r="1061">
          <cell r="B1061" t="str">
            <v>AMIR31AC</v>
          </cell>
          <cell r="C1061" t="str">
            <v>Sahabat Tani, UD/Amirudin</v>
          </cell>
          <cell r="D1061" t="str">
            <v>Utar Kasinah</v>
          </cell>
          <cell r="E1061" t="str">
            <v>Dusun Karombo Desa Nangamiro, RT.001/RW.001, Kel. Nangammiro, Kec. Pekat</v>
          </cell>
          <cell r="F1061" t="str">
            <v>Dompu</v>
          </cell>
          <cell r="G1061" t="str">
            <v>5205061002520001</v>
          </cell>
          <cell r="H1061" t="str">
            <v>000000000000000</v>
          </cell>
          <cell r="J1061">
            <v>0</v>
          </cell>
          <cell r="K1061">
            <v>0</v>
          </cell>
          <cell r="L1061">
            <v>0</v>
          </cell>
        </row>
        <row r="1062">
          <cell r="B1062" t="str">
            <v>ENDA01AC</v>
          </cell>
          <cell r="C1062" t="str">
            <v>Sahabat Tani, UD/Endang</v>
          </cell>
          <cell r="D1062" t="str">
            <v>Adi Sucipto</v>
          </cell>
          <cell r="E1062" t="str">
            <v>Dusun La Wontu, RT.012/RW.005, Kel. Risa, Kec. Woha</v>
          </cell>
          <cell r="F1062" t="str">
            <v>Bima</v>
          </cell>
          <cell r="G1062" t="str">
            <v>5206031902001004</v>
          </cell>
          <cell r="H1062" t="str">
            <v>000000000000000</v>
          </cell>
          <cell r="J1062">
            <v>0</v>
          </cell>
          <cell r="K1062">
            <v>0</v>
          </cell>
          <cell r="L1062">
            <v>0</v>
          </cell>
        </row>
        <row r="1063">
          <cell r="B1063" t="str">
            <v>ENDA02AC</v>
          </cell>
          <cell r="C1063" t="str">
            <v>Sahabat Tani, UD/Endang</v>
          </cell>
          <cell r="D1063" t="str">
            <v>Arjuna</v>
          </cell>
          <cell r="E1063" t="str">
            <v>Dusun La Wontu, RT.013/RW.006, Kel. Risa, Kec. Woha</v>
          </cell>
          <cell r="F1063" t="str">
            <v>Bima</v>
          </cell>
          <cell r="G1063" t="str">
            <v>5206035302790001</v>
          </cell>
          <cell r="H1063" t="str">
            <v>000000000000000</v>
          </cell>
          <cell r="J1063">
            <v>0</v>
          </cell>
          <cell r="K1063">
            <v>0</v>
          </cell>
          <cell r="L1063">
            <v>0</v>
          </cell>
        </row>
        <row r="1064">
          <cell r="B1064" t="str">
            <v>ENDA03AC</v>
          </cell>
          <cell r="C1064" t="str">
            <v>Sahabat Tani, UD/Endang</v>
          </cell>
          <cell r="D1064" t="str">
            <v>Nur Safitri</v>
          </cell>
          <cell r="E1064" t="str">
            <v>Dusun La Wontu, RT.012/RW.005, Kel. Risa, Kec. Woha</v>
          </cell>
          <cell r="F1064" t="str">
            <v>Bima</v>
          </cell>
          <cell r="G1064" t="str">
            <v>5206035005001006</v>
          </cell>
          <cell r="H1064" t="str">
            <v>000000000000000</v>
          </cell>
          <cell r="J1064">
            <v>0</v>
          </cell>
          <cell r="K1064">
            <v>0</v>
          </cell>
          <cell r="L1064">
            <v>0</v>
          </cell>
        </row>
        <row r="1065">
          <cell r="B1065" t="str">
            <v>ENDA04AC</v>
          </cell>
          <cell r="C1065" t="str">
            <v>Sahabat Tani, UD/Endang</v>
          </cell>
          <cell r="D1065" t="str">
            <v>Diana</v>
          </cell>
          <cell r="E1065" t="str">
            <v>Risa, RT.012/RW.006, Kel. Risa, Kec. Woha</v>
          </cell>
          <cell r="F1065" t="str">
            <v>Bima</v>
          </cell>
          <cell r="G1065" t="str">
            <v>5206034104001005</v>
          </cell>
          <cell r="H1065" t="str">
            <v>000000000000000</v>
          </cell>
          <cell r="J1065">
            <v>0</v>
          </cell>
          <cell r="K1065">
            <v>0</v>
          </cell>
          <cell r="L1065">
            <v>0</v>
          </cell>
        </row>
        <row r="1066">
          <cell r="B1066" t="str">
            <v>ENDA05AC</v>
          </cell>
          <cell r="C1066" t="str">
            <v>Sahabat Tani, UD/Endang</v>
          </cell>
          <cell r="D1066" t="str">
            <v>Nufrah</v>
          </cell>
          <cell r="E1066" t="str">
            <v>Risa, RT.014/RW.005, Kel. Risa, Kec. Woha</v>
          </cell>
          <cell r="F1066" t="str">
            <v>Bima</v>
          </cell>
          <cell r="G1066" t="str">
            <v>5206034707880003</v>
          </cell>
          <cell r="H1066" t="str">
            <v>000000000000000</v>
          </cell>
          <cell r="J1066">
            <v>0</v>
          </cell>
          <cell r="K1066">
            <v>0</v>
          </cell>
          <cell r="L1066">
            <v>0</v>
          </cell>
        </row>
        <row r="1067">
          <cell r="B1067" t="str">
            <v>KHO01AC</v>
          </cell>
          <cell r="C1067" t="str">
            <v>Sahala/Syaiful</v>
          </cell>
          <cell r="D1067" t="str">
            <v>Sarminah</v>
          </cell>
          <cell r="E1067" t="str">
            <v>Sumurcinde, RT.003/RW.006, Kel. Sumurcinde, Kec. Soko</v>
          </cell>
          <cell r="F1067" t="str">
            <v>Tuban</v>
          </cell>
          <cell r="G1067" t="str">
            <v>3523114910590001</v>
          </cell>
          <cell r="H1067" t="str">
            <v>000000000000000</v>
          </cell>
          <cell r="I1067" t="str">
            <v>Ambil NIK sahala/syaiful Tahun 2021 u/ Sumber Tani/Anugrah Tani - Kho Hie/Franky</v>
          </cell>
          <cell r="J1067">
            <v>127831999.9997534</v>
          </cell>
          <cell r="K1067">
            <v>0</v>
          </cell>
          <cell r="L1067">
            <v>127831999.9997534</v>
          </cell>
        </row>
        <row r="1068">
          <cell r="B1068" t="str">
            <v>SAHA100AC</v>
          </cell>
          <cell r="C1068" t="str">
            <v>Sahala/Syaiful</v>
          </cell>
          <cell r="D1068" t="str">
            <v>Yatmo</v>
          </cell>
          <cell r="E1068" t="str">
            <v>Sumurpandan, RT.003/RW.005, Kel. Sumberjokidul, Kec. Sukosewu</v>
          </cell>
          <cell r="F1068" t="str">
            <v>Bojonegoro</v>
          </cell>
          <cell r="G1068" t="str">
            <v>3522242206540003</v>
          </cell>
          <cell r="H1068" t="str">
            <v>000000000000000</v>
          </cell>
          <cell r="J1068">
            <v>148931999.99970198</v>
          </cell>
          <cell r="K1068">
            <v>0</v>
          </cell>
          <cell r="L1068">
            <v>148931999.99970198</v>
          </cell>
        </row>
        <row r="1069">
          <cell r="B1069" t="str">
            <v>SAHA101AC</v>
          </cell>
          <cell r="C1069" t="str">
            <v>Sahala/Syaiful</v>
          </cell>
          <cell r="D1069" t="str">
            <v>Musa</v>
          </cell>
          <cell r="E1069" t="str">
            <v>Dusun Sumur Pandan, RT.004/RW.005, Kel. Sumberjokidul, Kec. Sukosewu</v>
          </cell>
          <cell r="F1069" t="str">
            <v>Bojonegoro</v>
          </cell>
          <cell r="G1069" t="str">
            <v>3522240110670028</v>
          </cell>
          <cell r="H1069" t="str">
            <v>000000000000000</v>
          </cell>
          <cell r="J1069">
            <v>141702399.99954939</v>
          </cell>
          <cell r="K1069">
            <v>0</v>
          </cell>
          <cell r="L1069">
            <v>141702399.99954939</v>
          </cell>
        </row>
        <row r="1070">
          <cell r="B1070" t="str">
            <v>SAHA102AC</v>
          </cell>
          <cell r="C1070" t="str">
            <v>Sahala/Syaiful</v>
          </cell>
          <cell r="D1070" t="str">
            <v>Gunawi</v>
          </cell>
          <cell r="E1070" t="str">
            <v>Dusun Sumur Pandan, RT.004/RW.005, Kel. Sumberjokidul, Kec. Sukosewu</v>
          </cell>
          <cell r="F1070" t="str">
            <v>Bojonegoro</v>
          </cell>
          <cell r="G1070" t="str">
            <v>3522240110730014</v>
          </cell>
          <cell r="H1070" t="str">
            <v>000000000000000</v>
          </cell>
          <cell r="J1070">
            <v>127549599.99966928</v>
          </cell>
          <cell r="K1070">
            <v>0</v>
          </cell>
          <cell r="L1070">
            <v>127549599.99966928</v>
          </cell>
        </row>
        <row r="1071">
          <cell r="B1071" t="str">
            <v>SAHA103AC</v>
          </cell>
          <cell r="C1071" t="str">
            <v>Sahala/Syaiful</v>
          </cell>
          <cell r="D1071" t="str">
            <v>Damiran</v>
          </cell>
          <cell r="E1071" t="str">
            <v>Sumberjokidul, RT.004/RW.005, Kel. Sumberjokidul, Kec. Sukosewu</v>
          </cell>
          <cell r="F1071" t="str">
            <v>Bojonegoro</v>
          </cell>
          <cell r="G1071" t="str">
            <v>3522242307690002</v>
          </cell>
          <cell r="H1071" t="str">
            <v>000000000000000</v>
          </cell>
          <cell r="J1071">
            <v>159439199.99914399</v>
          </cell>
          <cell r="K1071">
            <v>0</v>
          </cell>
          <cell r="L1071">
            <v>159439199.99914399</v>
          </cell>
        </row>
        <row r="1072">
          <cell r="B1072" t="str">
            <v>SAHA104AC</v>
          </cell>
          <cell r="C1072" t="str">
            <v>Sahala/Syaiful</v>
          </cell>
          <cell r="D1072" t="str">
            <v>Mardi</v>
          </cell>
          <cell r="E1072" t="str">
            <v>Sumur Pandan, RT.003/RW.005, Kel. Sumberjokidul, Kec. Sukosewu</v>
          </cell>
          <cell r="F1072" t="str">
            <v>Bojonegoro</v>
          </cell>
          <cell r="G1072" t="str">
            <v>3522240512590001</v>
          </cell>
          <cell r="H1072" t="str">
            <v>000000000000000</v>
          </cell>
          <cell r="J1072">
            <v>197111199.99904239</v>
          </cell>
          <cell r="K1072">
            <v>0</v>
          </cell>
          <cell r="L1072">
            <v>197111199.99904239</v>
          </cell>
        </row>
        <row r="1073">
          <cell r="B1073" t="str">
            <v>SAHA105AC</v>
          </cell>
          <cell r="C1073" t="str">
            <v>Sahala/Syaiful</v>
          </cell>
          <cell r="D1073" t="str">
            <v>Jalidin</v>
          </cell>
          <cell r="E1073" t="str">
            <v>Sumur Pandan, RT.003/RW.005, Kel. Sumberjokidul, Kec. Sukosewu</v>
          </cell>
          <cell r="F1073" t="str">
            <v>Bojonegoro</v>
          </cell>
          <cell r="G1073" t="str">
            <v>3522240612630002</v>
          </cell>
          <cell r="H1073" t="str">
            <v>000000000000000</v>
          </cell>
          <cell r="J1073">
            <v>153935999.999955</v>
          </cell>
          <cell r="K1073">
            <v>0</v>
          </cell>
          <cell r="L1073">
            <v>153935999.999955</v>
          </cell>
        </row>
        <row r="1074">
          <cell r="B1074" t="str">
            <v>SAHA106AC</v>
          </cell>
          <cell r="C1074" t="str">
            <v>Sahala/Syaiful</v>
          </cell>
          <cell r="D1074" t="str">
            <v>Lilis Handayani</v>
          </cell>
          <cell r="E1074" t="str">
            <v>Mojoroto, RT.002/RW.002, Kel. Duyungan, Kec. Sukosewu</v>
          </cell>
          <cell r="F1074" t="str">
            <v>Bojonegoro</v>
          </cell>
          <cell r="G1074" t="str">
            <v>3522245603750002</v>
          </cell>
          <cell r="H1074" t="str">
            <v>000000000000000</v>
          </cell>
          <cell r="J1074">
            <v>159691999.99990901</v>
          </cell>
          <cell r="K1074">
            <v>0</v>
          </cell>
          <cell r="L1074">
            <v>159691999.99990901</v>
          </cell>
        </row>
        <row r="1075">
          <cell r="B1075" t="str">
            <v>SAHA108AC</v>
          </cell>
          <cell r="C1075" t="str">
            <v>Sahala/Syaiful</v>
          </cell>
          <cell r="D1075" t="str">
            <v>Sumiran</v>
          </cell>
          <cell r="E1075" t="str">
            <v>Sumur Pandan, RT.001/RW.005, Kel. Sumberjokidul, Kec. Sukosewu</v>
          </cell>
          <cell r="F1075" t="str">
            <v>Bojonegoro</v>
          </cell>
          <cell r="G1075" t="str">
            <v>3522241011700008</v>
          </cell>
          <cell r="H1075" t="str">
            <v>000000000000000</v>
          </cell>
          <cell r="J1075">
            <v>169027999.99994719</v>
          </cell>
          <cell r="K1075">
            <v>0</v>
          </cell>
          <cell r="L1075">
            <v>169027999.99994719</v>
          </cell>
        </row>
        <row r="1076">
          <cell r="B1076" t="str">
            <v>SAHA109AC</v>
          </cell>
          <cell r="C1076" t="str">
            <v>Sahala/Syaiful</v>
          </cell>
          <cell r="D1076" t="str">
            <v>Suyanto</v>
          </cell>
          <cell r="E1076" t="str">
            <v>Dusun Sumur Pandan, RT.003/RW.005, Kel. Sumberjokidul, Kec. Sukosewu</v>
          </cell>
          <cell r="F1076" t="str">
            <v>Bojonegoro</v>
          </cell>
          <cell r="G1076" t="str">
            <v>3522241404760003</v>
          </cell>
          <cell r="H1076" t="str">
            <v>000000000000000</v>
          </cell>
          <cell r="J1076">
            <v>148071999.99992967</v>
          </cell>
          <cell r="K1076">
            <v>0</v>
          </cell>
          <cell r="L1076">
            <v>148071999.99992967</v>
          </cell>
        </row>
        <row r="1077">
          <cell r="B1077" t="str">
            <v>SAHA110AC</v>
          </cell>
          <cell r="C1077" t="str">
            <v>Sahala/Syaiful</v>
          </cell>
          <cell r="D1077" t="str">
            <v>Warimin</v>
          </cell>
          <cell r="E1077" t="str">
            <v>Dusun Sumur Pandan, RT.001/RW.005, Kel. Sumberjokidul, Kec. Sukosewu</v>
          </cell>
          <cell r="F1077" t="str">
            <v>Bojonegoro</v>
          </cell>
          <cell r="G1077" t="str">
            <v>3522240111370003</v>
          </cell>
          <cell r="H1077" t="str">
            <v>000000000000000</v>
          </cell>
          <cell r="J1077">
            <v>105167999.99968271</v>
          </cell>
          <cell r="K1077">
            <v>0</v>
          </cell>
          <cell r="L1077">
            <v>105167999.99968271</v>
          </cell>
        </row>
        <row r="1078">
          <cell r="B1078" t="str">
            <v>SAHA111AC</v>
          </cell>
          <cell r="C1078" t="str">
            <v>Sahala/Syaiful</v>
          </cell>
          <cell r="D1078" t="str">
            <v>Gunawan</v>
          </cell>
          <cell r="E1078" t="str">
            <v>Dusun Sumur Pandan, RT.004/RW.005, Kel. Sumberjokidul, Kec. Sukosewu</v>
          </cell>
          <cell r="F1078" t="str">
            <v>Bojonegoro</v>
          </cell>
          <cell r="G1078" t="str">
            <v>3522242106750001</v>
          </cell>
          <cell r="H1078" t="str">
            <v>000000000000000</v>
          </cell>
          <cell r="J1078">
            <v>114207999.99976598</v>
          </cell>
          <cell r="K1078">
            <v>0</v>
          </cell>
          <cell r="L1078">
            <v>114207999.99976598</v>
          </cell>
        </row>
        <row r="1079">
          <cell r="B1079" t="str">
            <v>SAHA112AC</v>
          </cell>
          <cell r="C1079" t="str">
            <v>Sahala/Syaiful</v>
          </cell>
          <cell r="D1079" t="str">
            <v>Sucan</v>
          </cell>
          <cell r="E1079" t="str">
            <v>Sumberejo Kidul, RT.005/RW.005, Sumberjokidul, Kec. Sukosewu</v>
          </cell>
          <cell r="F1079" t="str">
            <v>Bojonegoro</v>
          </cell>
          <cell r="G1079" t="str">
            <v>3522240608810003</v>
          </cell>
          <cell r="H1079" t="str">
            <v>000000000000000</v>
          </cell>
          <cell r="J1079">
            <v>148059999.99993604</v>
          </cell>
          <cell r="K1079">
            <v>0</v>
          </cell>
          <cell r="L1079">
            <v>148059999.99993604</v>
          </cell>
        </row>
        <row r="1080">
          <cell r="B1080" t="str">
            <v>SAHA113AC</v>
          </cell>
          <cell r="C1080" t="str">
            <v>Sahala/Syaiful</v>
          </cell>
          <cell r="D1080" t="str">
            <v>Ngatemi</v>
          </cell>
          <cell r="E1080" t="str">
            <v>Sumur Pandan, RT.003/RW.005, Kel. Sumberjokidul, Kec. Sukosewu</v>
          </cell>
          <cell r="F1080" t="str">
            <v>Bojonegoro</v>
          </cell>
          <cell r="G1080" t="str">
            <v>3522244303730009</v>
          </cell>
          <cell r="H1080" t="str">
            <v>000000000000000</v>
          </cell>
          <cell r="J1080">
            <v>126861999.99989206</v>
          </cell>
          <cell r="K1080">
            <v>0</v>
          </cell>
          <cell r="L1080">
            <v>126861999.99989206</v>
          </cell>
        </row>
        <row r="1081">
          <cell r="B1081" t="str">
            <v>SAHA114AC</v>
          </cell>
          <cell r="C1081" t="str">
            <v>Sahala/Syaiful</v>
          </cell>
          <cell r="D1081" t="str">
            <v>Sundani</v>
          </cell>
          <cell r="E1081" t="str">
            <v>Sumberejo Kidul, RT.004/RW.005, Sumberjokidul, Kec. Sukosewu</v>
          </cell>
          <cell r="F1081" t="str">
            <v>Bojonegoro</v>
          </cell>
          <cell r="G1081" t="str">
            <v>3522240110640038</v>
          </cell>
          <cell r="H1081" t="str">
            <v>000000000000000</v>
          </cell>
          <cell r="J1081">
            <v>154095999.99968326</v>
          </cell>
          <cell r="K1081">
            <v>0</v>
          </cell>
          <cell r="L1081">
            <v>154095999.99968326</v>
          </cell>
        </row>
        <row r="1082">
          <cell r="B1082" t="str">
            <v>SAHA115AC</v>
          </cell>
          <cell r="C1082" t="str">
            <v>Sahala/Syaiful</v>
          </cell>
          <cell r="D1082" t="str">
            <v>Basirun</v>
          </cell>
          <cell r="E1082" t="str">
            <v>Sumberjo Kidul, RT.004/RW.005, Sumberjokidul, Kec. Sukosewu</v>
          </cell>
          <cell r="F1082" t="str">
            <v>Bojonegoro</v>
          </cell>
          <cell r="G1082" t="str">
            <v>3522240612600003</v>
          </cell>
          <cell r="H1082" t="str">
            <v>000000000000000</v>
          </cell>
          <cell r="J1082">
            <v>163968799.99992546</v>
          </cell>
          <cell r="K1082">
            <v>0</v>
          </cell>
          <cell r="L1082">
            <v>163968799.99992546</v>
          </cell>
        </row>
        <row r="1083">
          <cell r="B1083" t="str">
            <v>SAHA116AC</v>
          </cell>
          <cell r="C1083" t="str">
            <v>Sahala/Syaiful</v>
          </cell>
          <cell r="D1083" t="str">
            <v>Suprih</v>
          </cell>
          <cell r="E1083" t="str">
            <v>Sumberjo Kidul, RT.004/RW.005, Sumberjokidul, Kec. Sukosewu</v>
          </cell>
          <cell r="F1083" t="str">
            <v>Bojonegoro</v>
          </cell>
          <cell r="G1083" t="str">
            <v>3522241608760002</v>
          </cell>
          <cell r="H1083" t="str">
            <v>000000000000000</v>
          </cell>
          <cell r="J1083">
            <v>128395999.99998802</v>
          </cell>
          <cell r="K1083">
            <v>0</v>
          </cell>
          <cell r="L1083">
            <v>128395999.99998802</v>
          </cell>
        </row>
        <row r="1084">
          <cell r="B1084" t="str">
            <v>SAHA117AC</v>
          </cell>
          <cell r="C1084" t="str">
            <v>Sahala/Syaiful</v>
          </cell>
          <cell r="D1084" t="str">
            <v>Jiyatri</v>
          </cell>
          <cell r="E1084" t="str">
            <v>Dusun Sumurpandan, RT.004/RW.005, Kel. Sumberjokidul, Kec. Sukosewu</v>
          </cell>
          <cell r="F1084" t="str">
            <v>Bojonegoro</v>
          </cell>
          <cell r="G1084" t="str">
            <v>3522244508760005</v>
          </cell>
          <cell r="H1084" t="str">
            <v>000000000000000</v>
          </cell>
          <cell r="J1084">
            <v>142039999.9994368</v>
          </cell>
          <cell r="K1084">
            <v>0</v>
          </cell>
          <cell r="L1084">
            <v>142039999.9994368</v>
          </cell>
        </row>
        <row r="1085">
          <cell r="B1085" t="str">
            <v>SAHA118AC</v>
          </cell>
          <cell r="C1085" t="str">
            <v>Sahala/Syaiful</v>
          </cell>
          <cell r="D1085" t="str">
            <v>Ngatemi</v>
          </cell>
          <cell r="E1085" t="str">
            <v>Sumberejo Kidul, RT.004/RW.005, Sumberjokidul, Kec. Sukosewu</v>
          </cell>
          <cell r="F1085" t="str">
            <v>Bojonegoro</v>
          </cell>
          <cell r="G1085" t="str">
            <v>3522246112710002</v>
          </cell>
          <cell r="H1085" t="str">
            <v>000000000000000</v>
          </cell>
          <cell r="J1085">
            <v>136227999.99990401</v>
          </cell>
          <cell r="K1085">
            <v>0</v>
          </cell>
          <cell r="L1085">
            <v>136227999.99990401</v>
          </cell>
        </row>
        <row r="1086">
          <cell r="B1086" t="str">
            <v>SAHA119AC</v>
          </cell>
          <cell r="C1086" t="str">
            <v>Sahala/Syaiful</v>
          </cell>
          <cell r="D1086" t="str">
            <v>Jaemun</v>
          </cell>
          <cell r="E1086" t="str">
            <v>Sumberjo Kidul, RT.002/RW.005, Sumberjokidul, Kec. Sukosewu</v>
          </cell>
          <cell r="F1086" t="str">
            <v>Bojonegoro</v>
          </cell>
          <cell r="G1086" t="str">
            <v>3522240505570002</v>
          </cell>
          <cell r="H1086" t="str">
            <v>000000000000000</v>
          </cell>
          <cell r="J1086">
            <v>148191999.99998605</v>
          </cell>
          <cell r="K1086">
            <v>0</v>
          </cell>
          <cell r="L1086">
            <v>148191999.99998605</v>
          </cell>
        </row>
        <row r="1087">
          <cell r="B1087" t="str">
            <v>SAHA120AC</v>
          </cell>
          <cell r="C1087" t="str">
            <v>Sahala/Syaiful</v>
          </cell>
          <cell r="D1087" t="str">
            <v>Sarpi</v>
          </cell>
          <cell r="E1087" t="str">
            <v>Sumurpandan, RT.002/RW.005, Kel. Sumberjokidul, Kec. Sukosewu</v>
          </cell>
          <cell r="F1087" t="str">
            <v>Bojonegoro</v>
          </cell>
          <cell r="G1087" t="str">
            <v>3522246410690002</v>
          </cell>
          <cell r="H1087" t="str">
            <v>000000000000000</v>
          </cell>
          <cell r="J1087">
            <v>130184000</v>
          </cell>
          <cell r="K1087">
            <v>0</v>
          </cell>
          <cell r="L1087">
            <v>130184000</v>
          </cell>
        </row>
        <row r="1088">
          <cell r="B1088" t="str">
            <v>SAHA121AC</v>
          </cell>
          <cell r="C1088" t="str">
            <v>Sahala/Syaiful</v>
          </cell>
          <cell r="D1088" t="str">
            <v>Sujar</v>
          </cell>
          <cell r="E1088" t="str">
            <v>Sumurpandan, RT.001/RW.005, Kel. Sumberjokidul, Kec. Sukosewu</v>
          </cell>
          <cell r="F1088" t="str">
            <v>Bojonegoro</v>
          </cell>
          <cell r="G1088" t="str">
            <v>3522240511610002</v>
          </cell>
          <cell r="H1088" t="str">
            <v>000000000000000</v>
          </cell>
          <cell r="J1088">
            <v>158528000.00000006</v>
          </cell>
          <cell r="K1088">
            <v>0</v>
          </cell>
          <cell r="L1088">
            <v>158528000.00000006</v>
          </cell>
        </row>
        <row r="1089">
          <cell r="B1089" t="str">
            <v>SAHA123AC</v>
          </cell>
          <cell r="C1089" t="str">
            <v>Sahala/Syaiful</v>
          </cell>
          <cell r="D1089" t="str">
            <v>Supardi</v>
          </cell>
          <cell r="E1089" t="str">
            <v>Sumurpandan, RT.003/RW.005, Kel. Sumberjokidul, Kec. Sukosewu</v>
          </cell>
          <cell r="F1089" t="str">
            <v>Bojonegoro</v>
          </cell>
          <cell r="G1089" t="str">
            <v>3522241504590003</v>
          </cell>
          <cell r="H1089" t="str">
            <v>000000000000000</v>
          </cell>
          <cell r="J1089">
            <v>161264000</v>
          </cell>
          <cell r="K1089">
            <v>0</v>
          </cell>
          <cell r="L1089">
            <v>161264000</v>
          </cell>
        </row>
        <row r="1090">
          <cell r="B1090" t="str">
            <v>SAHA124AC</v>
          </cell>
          <cell r="C1090" t="str">
            <v>Sahala/Syaiful</v>
          </cell>
          <cell r="D1090" t="str">
            <v>Sugito</v>
          </cell>
          <cell r="E1090" t="str">
            <v>Dusun Sumurpandan, RT.001/RW.005, Kel. Sumberjokidul, Kec. Sukosewu</v>
          </cell>
          <cell r="F1090" t="str">
            <v>Bojonegoro</v>
          </cell>
          <cell r="G1090" t="str">
            <v>3522242708880002</v>
          </cell>
          <cell r="H1090" t="str">
            <v>000000000000000</v>
          </cell>
          <cell r="J1090">
            <v>162336000</v>
          </cell>
          <cell r="K1090">
            <v>0</v>
          </cell>
          <cell r="L1090">
            <v>162336000</v>
          </cell>
        </row>
        <row r="1091">
          <cell r="B1091" t="str">
            <v>SAHA125AC</v>
          </cell>
          <cell r="C1091" t="str">
            <v>Sahala/Syaiful</v>
          </cell>
          <cell r="D1091" t="str">
            <v>Ruslan</v>
          </cell>
          <cell r="E1091" t="str">
            <v>Dusun Sumurpandan, RT.001/RW.005, Kel. Sumberjokidul, Kec. Sukosewu</v>
          </cell>
          <cell r="F1091" t="str">
            <v>Bojonegoro</v>
          </cell>
          <cell r="G1091" t="str">
            <v>3522240704690002</v>
          </cell>
          <cell r="H1091" t="str">
            <v>000000000000000</v>
          </cell>
          <cell r="J1091">
            <v>148512000</v>
          </cell>
          <cell r="K1091">
            <v>0</v>
          </cell>
          <cell r="L1091">
            <v>148512000</v>
          </cell>
        </row>
        <row r="1092">
          <cell r="B1092" t="str">
            <v>SAHA126AC</v>
          </cell>
          <cell r="C1092" t="str">
            <v>Sahala/Syaiful</v>
          </cell>
          <cell r="D1092" t="str">
            <v>Turkamun</v>
          </cell>
          <cell r="E1092" t="str">
            <v>Sumurpandan, RT.002/RW.005, Kel. Sumberjokidul, Kec. Sukosewu</v>
          </cell>
          <cell r="F1092" t="str">
            <v>Bojonegoro</v>
          </cell>
          <cell r="G1092" t="str">
            <v>3522241602720004</v>
          </cell>
          <cell r="H1092" t="str">
            <v>000000000000000</v>
          </cell>
          <cell r="J1092">
            <v>144264000</v>
          </cell>
          <cell r="K1092">
            <v>0</v>
          </cell>
          <cell r="L1092">
            <v>144264000</v>
          </cell>
        </row>
        <row r="1093">
          <cell r="B1093" t="str">
            <v>SAHA127AC</v>
          </cell>
          <cell r="C1093" t="str">
            <v>Sahala/Syaiful</v>
          </cell>
          <cell r="D1093" t="str">
            <v>Salim</v>
          </cell>
          <cell r="E1093" t="str">
            <v>Sumurpandan, RT.004/RW.005, Kel. Sumberjokidul, Kec. Sukosewu</v>
          </cell>
          <cell r="F1093" t="str">
            <v>Bojonegoro</v>
          </cell>
          <cell r="G1093" t="str">
            <v>3522240911600002</v>
          </cell>
          <cell r="H1093" t="str">
            <v>000000000000000</v>
          </cell>
          <cell r="J1093">
            <v>176572000</v>
          </cell>
          <cell r="K1093">
            <v>0</v>
          </cell>
          <cell r="L1093">
            <v>176572000</v>
          </cell>
        </row>
        <row r="1094">
          <cell r="B1094" t="str">
            <v>SAHA128AC</v>
          </cell>
          <cell r="C1094" t="str">
            <v>Sahala/Syaiful</v>
          </cell>
          <cell r="D1094" t="str">
            <v>Sudirman</v>
          </cell>
          <cell r="E1094" t="str">
            <v>Sumurpandan, RT.002/RW.005, Kel. Sumberjokidul, Kec. Sukosewu</v>
          </cell>
          <cell r="F1094" t="str">
            <v>Bojonegoro</v>
          </cell>
          <cell r="G1094" t="str">
            <v>3522240603880005</v>
          </cell>
          <cell r="H1094" t="str">
            <v>000000000000000</v>
          </cell>
          <cell r="J1094">
            <v>174616000</v>
          </cell>
          <cell r="K1094">
            <v>0</v>
          </cell>
          <cell r="L1094">
            <v>174616000</v>
          </cell>
        </row>
        <row r="1095">
          <cell r="B1095" t="str">
            <v>SAHA129AC</v>
          </cell>
          <cell r="C1095" t="str">
            <v>Sahala/Syaiful</v>
          </cell>
          <cell r="D1095" t="str">
            <v>Jadin</v>
          </cell>
          <cell r="E1095" t="str">
            <v>Sumurpandan, RT.001/RW.005, Kel. Sumberjokidul, Kec. Sukosewu</v>
          </cell>
          <cell r="F1095" t="str">
            <v>Bojonegoro</v>
          </cell>
          <cell r="G1095" t="str">
            <v>3522240201510001</v>
          </cell>
          <cell r="H1095" t="str">
            <v>000000000000000</v>
          </cell>
          <cell r="J1095">
            <v>159680000</v>
          </cell>
          <cell r="K1095">
            <v>0</v>
          </cell>
          <cell r="L1095">
            <v>159680000</v>
          </cell>
        </row>
        <row r="1096">
          <cell r="B1096" t="str">
            <v>SAHA130AC</v>
          </cell>
          <cell r="C1096" t="str">
            <v>Sahala/Syaiful</v>
          </cell>
          <cell r="D1096" t="str">
            <v>Abdul Adha</v>
          </cell>
          <cell r="E1096" t="str">
            <v>Sumurpandan, RT.001/RW.005, Kel. Sumberjokidul, Kec. Sukosewu</v>
          </cell>
          <cell r="F1096" t="str">
            <v>Bojonegoro</v>
          </cell>
          <cell r="G1096" t="str">
            <v>3522240307900002</v>
          </cell>
          <cell r="H1096" t="str">
            <v>000000000000000</v>
          </cell>
          <cell r="J1096">
            <v>163296000</v>
          </cell>
          <cell r="K1096">
            <v>0</v>
          </cell>
          <cell r="L1096">
            <v>163296000</v>
          </cell>
        </row>
        <row r="1097">
          <cell r="B1097" t="str">
            <v>SAHA131AC</v>
          </cell>
          <cell r="C1097" t="str">
            <v>Sahala/Syaiful</v>
          </cell>
          <cell r="D1097" t="str">
            <v>Nyono</v>
          </cell>
          <cell r="E1097" t="str">
            <v>Sumurpandan, RT.001/RW.005, Kel. Sumberjokidul, Kec. Sukosewu</v>
          </cell>
          <cell r="F1097" t="str">
            <v>Bojonegoro</v>
          </cell>
          <cell r="G1097" t="str">
            <v>3522241205620002</v>
          </cell>
          <cell r="H1097" t="str">
            <v>000000000000000</v>
          </cell>
          <cell r="J1097">
            <v>173280000</v>
          </cell>
          <cell r="K1097">
            <v>0</v>
          </cell>
          <cell r="L1097">
            <v>173280000</v>
          </cell>
        </row>
        <row r="1098">
          <cell r="B1098" t="str">
            <v>SAHA132AC</v>
          </cell>
          <cell r="C1098" t="str">
            <v>Sahala/Syaiful</v>
          </cell>
          <cell r="D1098" t="str">
            <v>Warsito</v>
          </cell>
          <cell r="E1098" t="str">
            <v>Sumurpandan, RT.001/RW.005, Kel. Sumberjokidul, Kec. Sukosewu</v>
          </cell>
          <cell r="F1098" t="str">
            <v>Bojonegoro</v>
          </cell>
          <cell r="G1098" t="str">
            <v>3522240110670027</v>
          </cell>
          <cell r="H1098" t="str">
            <v>000000000000000</v>
          </cell>
          <cell r="J1098">
            <v>158152000</v>
          </cell>
          <cell r="K1098">
            <v>0</v>
          </cell>
          <cell r="L1098">
            <v>158152000</v>
          </cell>
        </row>
        <row r="1099">
          <cell r="B1099" t="str">
            <v>SAHA133AC</v>
          </cell>
          <cell r="C1099" t="str">
            <v>Sahala/Syaiful</v>
          </cell>
          <cell r="D1099" t="str">
            <v>Parwoto</v>
          </cell>
          <cell r="E1099" t="str">
            <v>Dusun Sumurpandan, RT.002/RW.005, Kel. Sumberjokidul, Kec. Sukosewu</v>
          </cell>
          <cell r="F1099" t="str">
            <v>Bojonegoro</v>
          </cell>
          <cell r="G1099" t="str">
            <v>3522242007880002</v>
          </cell>
          <cell r="H1099" t="str">
            <v>000000000000000</v>
          </cell>
          <cell r="J1099">
            <v>169004000</v>
          </cell>
          <cell r="K1099">
            <v>0</v>
          </cell>
          <cell r="L1099">
            <v>169004000</v>
          </cell>
        </row>
        <row r="1100">
          <cell r="B1100" t="str">
            <v>SAHA16AC</v>
          </cell>
          <cell r="C1100" t="str">
            <v>Sahala/Syaiful</v>
          </cell>
          <cell r="D1100" t="str">
            <v>Kasdan</v>
          </cell>
          <cell r="E1100" t="str">
            <v>Sumurcinde, RT.02/RW.07, Kel. Sumurcinde, Kec. Soko</v>
          </cell>
          <cell r="F1100" t="str">
            <v>Tuban</v>
          </cell>
          <cell r="G1100" t="str">
            <v>3523111408620001</v>
          </cell>
          <cell r="H1100" t="str">
            <v>000000000000000</v>
          </cell>
          <cell r="J1100">
            <v>149008000</v>
          </cell>
          <cell r="K1100">
            <v>0</v>
          </cell>
          <cell r="L1100">
            <v>149008000</v>
          </cell>
        </row>
        <row r="1101">
          <cell r="B1101" t="str">
            <v>SAHA18AC</v>
          </cell>
          <cell r="C1101" t="str">
            <v>Sahala/Syaiful</v>
          </cell>
          <cell r="D1101" t="str">
            <v>Warsiman</v>
          </cell>
          <cell r="E1101" t="str">
            <v>Sumurcinde, RT.02/RW.07, Kel. Sumurcinde, Kec. Soko</v>
          </cell>
          <cell r="F1101" t="str">
            <v>Tuban</v>
          </cell>
          <cell r="G1101" t="str">
            <v>3523112912600001</v>
          </cell>
          <cell r="H1101" t="str">
            <v>000000000000000</v>
          </cell>
          <cell r="J1101">
            <v>152844000.00000006</v>
          </cell>
          <cell r="K1101">
            <v>0</v>
          </cell>
          <cell r="L1101">
            <v>152844000.00000006</v>
          </cell>
        </row>
        <row r="1102">
          <cell r="B1102" t="str">
            <v>SAHA19AC</v>
          </cell>
          <cell r="C1102" t="str">
            <v>Sahala/Syaiful</v>
          </cell>
          <cell r="D1102" t="str">
            <v>Lasmini</v>
          </cell>
          <cell r="E1102" t="str">
            <v>Sumurcinde, RT.02/RW.06, Kel. Sumurcinde, Kec. Soko</v>
          </cell>
          <cell r="F1102" t="str">
            <v>Tuban</v>
          </cell>
          <cell r="G1102" t="str">
            <v>3523114501910002</v>
          </cell>
          <cell r="H1102" t="str">
            <v>000000000000000</v>
          </cell>
          <cell r="J1102">
            <v>151008000</v>
          </cell>
          <cell r="K1102">
            <v>0</v>
          </cell>
          <cell r="L1102">
            <v>151008000</v>
          </cell>
        </row>
        <row r="1103">
          <cell r="B1103" t="str">
            <v>SAHA22AC</v>
          </cell>
          <cell r="C1103" t="str">
            <v>Sahala/Syaiful</v>
          </cell>
          <cell r="D1103" t="str">
            <v>Tamsinah</v>
          </cell>
          <cell r="E1103" t="str">
            <v>Sumurcinde, RT.04/RW.07, Kel. Sumurcinde, Kec. Soko</v>
          </cell>
          <cell r="F1103" t="str">
            <v>Tuban</v>
          </cell>
          <cell r="G1103" t="str">
            <v>3523115007600001</v>
          </cell>
          <cell r="H1103" t="str">
            <v>000000000000000</v>
          </cell>
          <cell r="J1103">
            <v>170592000</v>
          </cell>
          <cell r="K1103">
            <v>0</v>
          </cell>
          <cell r="L1103">
            <v>170592000</v>
          </cell>
        </row>
        <row r="1104">
          <cell r="B1104" t="str">
            <v>SAHA25AC</v>
          </cell>
          <cell r="C1104" t="str">
            <v>Sahala/Syaiful</v>
          </cell>
          <cell r="D1104" t="str">
            <v>Endang Liswatin</v>
          </cell>
          <cell r="E1104" t="str">
            <v>Dsn. Maner, RT.003/RW.006, Kel. Sumurcinde, Kec. Soko</v>
          </cell>
          <cell r="F1104" t="str">
            <v>Tuban</v>
          </cell>
          <cell r="G1104" t="str">
            <v>3523114403900001</v>
          </cell>
          <cell r="H1104" t="str">
            <v>000000000000000</v>
          </cell>
          <cell r="J1104">
            <v>146176000</v>
          </cell>
          <cell r="K1104">
            <v>0</v>
          </cell>
          <cell r="L1104">
            <v>146176000</v>
          </cell>
        </row>
        <row r="1105">
          <cell r="B1105" t="str">
            <v>SAHA26AC</v>
          </cell>
          <cell r="C1105" t="str">
            <v>Sahala/Syaiful</v>
          </cell>
          <cell r="D1105" t="str">
            <v>Wahyu Ningsih</v>
          </cell>
          <cell r="E1105" t="str">
            <v>Dsn. Maner, RT.002/RW.007, Kel. Sumbercinde, Kec. Soko</v>
          </cell>
          <cell r="F1105" t="str">
            <v>Tuban</v>
          </cell>
          <cell r="G1105" t="str">
            <v>3521177110930001</v>
          </cell>
          <cell r="H1105" t="str">
            <v>000000000000000</v>
          </cell>
          <cell r="J1105">
            <v>155056000</v>
          </cell>
          <cell r="K1105">
            <v>0</v>
          </cell>
          <cell r="L1105">
            <v>155056000</v>
          </cell>
        </row>
        <row r="1106">
          <cell r="B1106" t="str">
            <v>SAHA27AC</v>
          </cell>
          <cell r="C1106" t="str">
            <v>Sahala/Syaiful</v>
          </cell>
          <cell r="D1106" t="str">
            <v>Sukarji</v>
          </cell>
          <cell r="E1106" t="str">
            <v>Sumurcinde, RT.003/RW.007, Kel. Sumurcinde, Kec. Soko</v>
          </cell>
          <cell r="F1106" t="str">
            <v>Tuban</v>
          </cell>
          <cell r="G1106" t="str">
            <v>3523112506550001</v>
          </cell>
          <cell r="H1106" t="str">
            <v>000000000000000</v>
          </cell>
          <cell r="J1106">
            <v>139328000</v>
          </cell>
          <cell r="K1106">
            <v>0</v>
          </cell>
          <cell r="L1106">
            <v>139328000</v>
          </cell>
        </row>
        <row r="1107">
          <cell r="B1107" t="str">
            <v>SAHA28AC</v>
          </cell>
          <cell r="C1107" t="str">
            <v>Sahala/Syaiful</v>
          </cell>
          <cell r="D1107" t="str">
            <v>Darsih</v>
          </cell>
          <cell r="E1107" t="str">
            <v>Sumurcinde, RT.003/RW.006, Kel. Sumurcinde, Kec. Soko</v>
          </cell>
          <cell r="F1107" t="str">
            <v>Tuban</v>
          </cell>
          <cell r="G1107" t="str">
            <v>3523116704600005</v>
          </cell>
          <cell r="H1107" t="str">
            <v>000000000000000</v>
          </cell>
          <cell r="J1107">
            <v>148504000</v>
          </cell>
          <cell r="K1107">
            <v>0</v>
          </cell>
          <cell r="L1107">
            <v>148504000</v>
          </cell>
        </row>
        <row r="1108">
          <cell r="B1108" t="str">
            <v>SAHA29AC</v>
          </cell>
          <cell r="C1108" t="str">
            <v>Sahala/Syaiful</v>
          </cell>
          <cell r="D1108" t="str">
            <v>Kristiana</v>
          </cell>
          <cell r="E1108" t="str">
            <v>Dsn. Maner, RT.002/RW.005, Kel. Sumurcinde, Kec. Soko</v>
          </cell>
          <cell r="F1108" t="str">
            <v>Tuban</v>
          </cell>
          <cell r="G1108" t="str">
            <v>3523115403880006</v>
          </cell>
          <cell r="H1108" t="str">
            <v>000000000000000</v>
          </cell>
          <cell r="J1108">
            <v>152208000</v>
          </cell>
          <cell r="K1108">
            <v>0</v>
          </cell>
          <cell r="L1108">
            <v>152208000</v>
          </cell>
        </row>
        <row r="1109">
          <cell r="B1109" t="str">
            <v>SAHA30AC</v>
          </cell>
          <cell r="C1109" t="str">
            <v>Sahala/Syaiful</v>
          </cell>
          <cell r="D1109" t="str">
            <v>Kasemi</v>
          </cell>
          <cell r="E1109" t="str">
            <v>Sumurcinde, RT.003/RW.007, Kel. Sumurcinde, Kec. Soko</v>
          </cell>
          <cell r="F1109" t="str">
            <v>Tuban</v>
          </cell>
          <cell r="G1109" t="str">
            <v>3523115908710001</v>
          </cell>
          <cell r="H1109" t="str">
            <v>000000000000000</v>
          </cell>
          <cell r="I1109" t="str">
            <v>Pernah diterbitkan Bupot</v>
          </cell>
          <cell r="J1109">
            <v>157944000</v>
          </cell>
          <cell r="K1109">
            <v>0</v>
          </cell>
          <cell r="L1109">
            <v>157944000</v>
          </cell>
        </row>
        <row r="1110">
          <cell r="B1110" t="str">
            <v>SAHA31AC</v>
          </cell>
          <cell r="C1110" t="str">
            <v>Sahala/Syaiful</v>
          </cell>
          <cell r="D1110" t="str">
            <v>Suparto</v>
          </cell>
          <cell r="E1110" t="str">
            <v>Dsn. Maner, RT.003/RW.006, Kel. Sumurcinde, Kec. Soko</v>
          </cell>
          <cell r="F1110" t="str">
            <v>Tuban</v>
          </cell>
          <cell r="G1110" t="str">
            <v>3523110705680008</v>
          </cell>
          <cell r="H1110" t="str">
            <v>000000000000000</v>
          </cell>
          <cell r="J1110">
            <v>154112000</v>
          </cell>
          <cell r="K1110">
            <v>0</v>
          </cell>
          <cell r="L1110">
            <v>154112000</v>
          </cell>
        </row>
        <row r="1111">
          <cell r="B1111" t="str">
            <v>SAHA32AC</v>
          </cell>
          <cell r="C1111" t="str">
            <v>Sahala/Syaiful</v>
          </cell>
          <cell r="D1111" t="str">
            <v>Paniran</v>
          </cell>
          <cell r="E1111" t="str">
            <v>Sumurcinde, RT.003/RW.006, Kel. Sumurcinde, Kec. Soko</v>
          </cell>
          <cell r="F1111" t="str">
            <v>Tuban</v>
          </cell>
          <cell r="G1111" t="str">
            <v>3523110806590002</v>
          </cell>
          <cell r="H1111" t="str">
            <v>000000000000000</v>
          </cell>
          <cell r="J1111">
            <v>148000000</v>
          </cell>
          <cell r="K1111">
            <v>0</v>
          </cell>
          <cell r="L1111">
            <v>148000000</v>
          </cell>
        </row>
        <row r="1112">
          <cell r="B1112" t="str">
            <v>SAHA33AC</v>
          </cell>
          <cell r="C1112" t="str">
            <v>Sahala/Syaiful</v>
          </cell>
          <cell r="D1112" t="str">
            <v>Satiman</v>
          </cell>
          <cell r="E1112" t="str">
            <v>Sumurcinde, RT.003/RW.005, Kel. Sumurcinde, Kec. Soko</v>
          </cell>
          <cell r="F1112" t="str">
            <v>Tuban</v>
          </cell>
          <cell r="G1112" t="str">
            <v>3523110107800288</v>
          </cell>
          <cell r="H1112" t="str">
            <v>000000000000000</v>
          </cell>
          <cell r="J1112">
            <v>165584000</v>
          </cell>
          <cell r="K1112">
            <v>0</v>
          </cell>
          <cell r="L1112">
            <v>165584000</v>
          </cell>
        </row>
        <row r="1113">
          <cell r="B1113" t="str">
            <v>SAHA34AC</v>
          </cell>
          <cell r="C1113" t="str">
            <v>Sahala/Syaiful</v>
          </cell>
          <cell r="D1113" t="str">
            <v>Jaidu Rohman</v>
          </cell>
          <cell r="E1113" t="str">
            <v>Dsn. Maner, RT.003/RW.007, Kel. Sumurcinde, Kec. Soko</v>
          </cell>
          <cell r="F1113" t="str">
            <v>Tuban</v>
          </cell>
          <cell r="G1113" t="str">
            <v>3523110505900004</v>
          </cell>
          <cell r="H1113" t="str">
            <v>000000000000000</v>
          </cell>
          <cell r="J1113">
            <v>169904000</v>
          </cell>
          <cell r="K1113">
            <v>0</v>
          </cell>
          <cell r="L1113">
            <v>169904000</v>
          </cell>
        </row>
        <row r="1114">
          <cell r="B1114" t="str">
            <v>SAHA35AC</v>
          </cell>
          <cell r="C1114" t="str">
            <v>Sahala/Syaiful</v>
          </cell>
          <cell r="D1114" t="str">
            <v>Sanuri</v>
          </cell>
          <cell r="E1114" t="str">
            <v>Sumurcinde, RT.002/RW.005, Kel. Sumurcinde, Kec. Soko</v>
          </cell>
          <cell r="F1114" t="str">
            <v>Tuban</v>
          </cell>
          <cell r="G1114" t="str">
            <v>3523112503850001</v>
          </cell>
          <cell r="H1114" t="str">
            <v>000000000000000</v>
          </cell>
          <cell r="J1114">
            <v>140784000</v>
          </cell>
          <cell r="K1114">
            <v>0</v>
          </cell>
          <cell r="L1114">
            <v>140784000</v>
          </cell>
        </row>
        <row r="1115">
          <cell r="B1115" t="str">
            <v>SAHA36AC</v>
          </cell>
          <cell r="C1115" t="str">
            <v>Sahala/Syaiful</v>
          </cell>
          <cell r="D1115" t="str">
            <v>Sauji</v>
          </cell>
          <cell r="E1115" t="str">
            <v>Dsn. Maner, RT.002/RW.005, Kel. Sumurcinde, Kec. Soko</v>
          </cell>
          <cell r="F1115" t="str">
            <v>Tuban</v>
          </cell>
          <cell r="G1115" t="str">
            <v>3523111704840004</v>
          </cell>
          <cell r="H1115" t="str">
            <v>000000000000000</v>
          </cell>
          <cell r="J1115">
            <v>171808000</v>
          </cell>
          <cell r="K1115">
            <v>0</v>
          </cell>
          <cell r="L1115">
            <v>171808000</v>
          </cell>
        </row>
        <row r="1116">
          <cell r="B1116" t="str">
            <v>SAHA37AC</v>
          </cell>
          <cell r="C1116" t="str">
            <v>Sahala/Syaiful</v>
          </cell>
          <cell r="D1116" t="str">
            <v>Dardinduk</v>
          </cell>
          <cell r="E1116" t="str">
            <v>Sumurcinde, RT.001/RW.007, Kel. Sumurcinde, Kec. Soko</v>
          </cell>
          <cell r="F1116" t="str">
            <v>Tuban</v>
          </cell>
          <cell r="G1116" t="str">
            <v>3523115110600002</v>
          </cell>
          <cell r="H1116" t="str">
            <v>000000000000000</v>
          </cell>
          <cell r="J1116">
            <v>169904000</v>
          </cell>
          <cell r="K1116">
            <v>0</v>
          </cell>
          <cell r="L1116">
            <v>169904000</v>
          </cell>
        </row>
        <row r="1117">
          <cell r="B1117" t="str">
            <v>SAHA38AC</v>
          </cell>
          <cell r="C1117" t="str">
            <v>Sahala/Syaiful</v>
          </cell>
          <cell r="D1117" t="str">
            <v>Sumijah</v>
          </cell>
          <cell r="E1117" t="str">
            <v>Sumurcinde, RT.004/RW.007, Kel. Sumurcinde, Kec. Soko</v>
          </cell>
          <cell r="F1117" t="str">
            <v>Tuban</v>
          </cell>
          <cell r="G1117" t="str">
            <v>3523115010640003</v>
          </cell>
          <cell r="H1117" t="str">
            <v>000000000000000</v>
          </cell>
          <cell r="J1117">
            <v>122656000</v>
          </cell>
          <cell r="K1117">
            <v>0</v>
          </cell>
          <cell r="L1117">
            <v>122656000</v>
          </cell>
        </row>
        <row r="1118">
          <cell r="B1118" t="str">
            <v>SAHA39AC</v>
          </cell>
          <cell r="C1118" t="str">
            <v>Sahala/Syaiful</v>
          </cell>
          <cell r="D1118" t="str">
            <v>Kasmi</v>
          </cell>
          <cell r="E1118" t="str">
            <v>Sumurcinde, RT.001/RW.006, Kel. Sumurcinde, Kec. Soko</v>
          </cell>
          <cell r="F1118" t="str">
            <v>Tuban</v>
          </cell>
          <cell r="G1118" t="str">
            <v>3523115911620001</v>
          </cell>
          <cell r="H1118" t="str">
            <v>000000000000000</v>
          </cell>
          <cell r="J1118">
            <v>150304000</v>
          </cell>
          <cell r="K1118">
            <v>0</v>
          </cell>
          <cell r="L1118">
            <v>150304000</v>
          </cell>
        </row>
        <row r="1119">
          <cell r="B1119" t="str">
            <v>SAHA40AC</v>
          </cell>
          <cell r="C1119" t="str">
            <v>Sahala/Syaiful</v>
          </cell>
          <cell r="D1119" t="str">
            <v>Sarto</v>
          </cell>
          <cell r="E1119" t="str">
            <v>Sumurcinde, RT.001/RW.007, Kel. Sumurcinde, Kec. Soko</v>
          </cell>
          <cell r="F1119" t="str">
            <v>Tuban</v>
          </cell>
          <cell r="G1119" t="str">
            <v>3523110908530003</v>
          </cell>
          <cell r="H1119" t="str">
            <v>000000000000000</v>
          </cell>
          <cell r="J1119">
            <v>126112000</v>
          </cell>
          <cell r="K1119">
            <v>0</v>
          </cell>
          <cell r="L1119">
            <v>126112000</v>
          </cell>
        </row>
        <row r="1120">
          <cell r="B1120" t="str">
            <v>SAHA41AC</v>
          </cell>
          <cell r="C1120" t="str">
            <v>Sahala/Syaiful</v>
          </cell>
          <cell r="D1120" t="str">
            <v>Miftakul Huda</v>
          </cell>
          <cell r="E1120" t="str">
            <v>Sumurcinde, RT.003/RW.005, Kel. Sumurcinde, Kec. Soko</v>
          </cell>
          <cell r="F1120" t="str">
            <v>Tuban</v>
          </cell>
          <cell r="G1120" t="str">
            <v>3523112604780002</v>
          </cell>
          <cell r="H1120" t="str">
            <v>000000000000000</v>
          </cell>
          <cell r="J1120">
            <v>126112000</v>
          </cell>
          <cell r="K1120">
            <v>0</v>
          </cell>
          <cell r="L1120">
            <v>126112000</v>
          </cell>
        </row>
        <row r="1121">
          <cell r="B1121" t="str">
            <v>SAHA43AC</v>
          </cell>
          <cell r="C1121" t="str">
            <v>Sahala/Syaiful</v>
          </cell>
          <cell r="D1121" t="str">
            <v>Muarifah</v>
          </cell>
          <cell r="E1121" t="str">
            <v>Sumurcinde, RT.003/RW.006, Kel. Sumurcinde, Kec. Soko</v>
          </cell>
          <cell r="F1121" t="str">
            <v>Tuban</v>
          </cell>
          <cell r="G1121" t="str">
            <v>3523116006840001</v>
          </cell>
          <cell r="H1121" t="str">
            <v>000000000000000</v>
          </cell>
          <cell r="J1121">
            <v>147440000</v>
          </cell>
          <cell r="K1121">
            <v>0</v>
          </cell>
          <cell r="L1121">
            <v>147440000</v>
          </cell>
        </row>
        <row r="1122">
          <cell r="B1122" t="str">
            <v>SAHA44AC</v>
          </cell>
          <cell r="C1122" t="str">
            <v>Sahala/Syaiful</v>
          </cell>
          <cell r="D1122" t="str">
            <v>Siti Markamah</v>
          </cell>
          <cell r="E1122" t="str">
            <v>Dsn. Maner, RT.002/RW.007, Kel. Sumurcinde, Kec. Soko</v>
          </cell>
          <cell r="F1122" t="str">
            <v>Tuban</v>
          </cell>
          <cell r="G1122" t="str">
            <v>3523115109700004</v>
          </cell>
          <cell r="H1122" t="str">
            <v>000000000000000</v>
          </cell>
          <cell r="J1122">
            <v>122656000</v>
          </cell>
          <cell r="K1122">
            <v>0</v>
          </cell>
          <cell r="L1122">
            <v>122656000</v>
          </cell>
        </row>
        <row r="1123">
          <cell r="B1123" t="str">
            <v>SAHA45AC</v>
          </cell>
          <cell r="C1123" t="str">
            <v>Sahala/Syaiful</v>
          </cell>
          <cell r="D1123" t="str">
            <v>Sunari</v>
          </cell>
          <cell r="E1123" t="str">
            <v>Sumurcinde, RT.002/RW.007, Kel. Sumurcinde, Kec. Soko</v>
          </cell>
          <cell r="F1123" t="str">
            <v>Tuban</v>
          </cell>
          <cell r="G1123" t="str">
            <v>3523111601580001</v>
          </cell>
          <cell r="H1123" t="str">
            <v>000000000000000</v>
          </cell>
          <cell r="J1123">
            <v>126112000</v>
          </cell>
          <cell r="K1123">
            <v>0</v>
          </cell>
          <cell r="L1123">
            <v>126112000</v>
          </cell>
        </row>
        <row r="1124">
          <cell r="B1124" t="str">
            <v>SAHA46AC</v>
          </cell>
          <cell r="C1124" t="str">
            <v>Sahala/Syaiful</v>
          </cell>
          <cell r="D1124" t="str">
            <v>Lasmi</v>
          </cell>
          <cell r="E1124" t="str">
            <v>Sumurcinde, RT.003/RW.006, Kel. Sumurcinde, Kec. Soko</v>
          </cell>
          <cell r="F1124" t="str">
            <v>Tuban</v>
          </cell>
          <cell r="G1124" t="str">
            <v>3523114409500002</v>
          </cell>
          <cell r="H1124" t="str">
            <v>000000000000000</v>
          </cell>
          <cell r="J1124">
            <v>124384000</v>
          </cell>
          <cell r="K1124">
            <v>0</v>
          </cell>
          <cell r="L1124">
            <v>124384000</v>
          </cell>
        </row>
        <row r="1125">
          <cell r="B1125" t="str">
            <v>SAHA48AC</v>
          </cell>
          <cell r="C1125" t="str">
            <v>Sahala/Syaiful</v>
          </cell>
          <cell r="D1125" t="str">
            <v>Satemi</v>
          </cell>
          <cell r="E1125" t="str">
            <v>Dsn. Maner, RT 003/RW.007, Kel. Sumurcinde, Kec. Soko</v>
          </cell>
          <cell r="F1125" t="str">
            <v>Tuban</v>
          </cell>
          <cell r="G1125" t="str">
            <v>3523115503580002</v>
          </cell>
          <cell r="H1125" t="str">
            <v>000000000000000</v>
          </cell>
          <cell r="J1125">
            <v>126112000</v>
          </cell>
          <cell r="K1125">
            <v>0</v>
          </cell>
          <cell r="L1125">
            <v>126112000</v>
          </cell>
        </row>
        <row r="1126">
          <cell r="B1126" t="str">
            <v>SAHA50AC</v>
          </cell>
          <cell r="C1126" t="str">
            <v>Sahala/Syaiful</v>
          </cell>
          <cell r="D1126" t="str">
            <v>Rokib</v>
          </cell>
          <cell r="E1126" t="str">
            <v>Sumurcinde, RT.002/RW.006, Kel. Sumurcinde, Kec. Soko</v>
          </cell>
          <cell r="F1126" t="str">
            <v>Tuban</v>
          </cell>
          <cell r="G1126" t="str">
            <v>3523111211840005</v>
          </cell>
          <cell r="H1126" t="str">
            <v>000000000000000</v>
          </cell>
          <cell r="J1126">
            <v>148576000</v>
          </cell>
          <cell r="K1126">
            <v>0</v>
          </cell>
          <cell r="L1126">
            <v>148576000</v>
          </cell>
        </row>
        <row r="1127">
          <cell r="B1127" t="str">
            <v>SAHA51AC</v>
          </cell>
          <cell r="C1127" t="str">
            <v>Sahala/Syaiful</v>
          </cell>
          <cell r="D1127" t="str">
            <v>Sulikah</v>
          </cell>
          <cell r="E1127" t="str">
            <v>Sumurcinde, RT.002/RW.007, Kel. Sumurcinde, Kec. Soko</v>
          </cell>
          <cell r="F1127" t="str">
            <v>Tuban</v>
          </cell>
          <cell r="G1127" t="str">
            <v>3523114708720003</v>
          </cell>
          <cell r="H1127" t="str">
            <v>000000000000000</v>
          </cell>
          <cell r="I1127" t="str">
            <v>Cek lagi juli 2024 awalnya tdk bisa upload tp coba lagi aja</v>
          </cell>
          <cell r="J1127">
            <v>126112000</v>
          </cell>
          <cell r="K1127">
            <v>0</v>
          </cell>
          <cell r="L1127">
            <v>126112000</v>
          </cell>
        </row>
        <row r="1128">
          <cell r="B1128" t="str">
            <v>SAHA53AC</v>
          </cell>
          <cell r="C1128" t="str">
            <v>Sahala/Syaiful</v>
          </cell>
          <cell r="D1128" t="str">
            <v>Juwarning</v>
          </cell>
          <cell r="E1128" t="str">
            <v>Dsn. Maner, RT.004/RW.007, Kel. Sumurcinde, Kec. Soko</v>
          </cell>
          <cell r="F1128" t="str">
            <v>Tuban</v>
          </cell>
          <cell r="G1128" t="str">
            <v>3523114112810002</v>
          </cell>
          <cell r="H1128" t="str">
            <v>000000000000000</v>
          </cell>
          <cell r="J1128">
            <v>124760000</v>
          </cell>
          <cell r="K1128">
            <v>0</v>
          </cell>
          <cell r="L1128">
            <v>124760000</v>
          </cell>
        </row>
        <row r="1129">
          <cell r="B1129" t="str">
            <v>SAHA54AC</v>
          </cell>
          <cell r="C1129" t="str">
            <v>Sahala/Syaiful</v>
          </cell>
          <cell r="D1129" t="str">
            <v>Sumiati</v>
          </cell>
          <cell r="E1129" t="str">
            <v>Dsn. Maner, RT.003/RW.006, Kel. Sumurcinde, Kec. Soko</v>
          </cell>
          <cell r="F1129" t="str">
            <v>Tuban</v>
          </cell>
          <cell r="G1129" t="str">
            <v>3523115909820005</v>
          </cell>
          <cell r="H1129" t="str">
            <v>000000000000000</v>
          </cell>
          <cell r="J1129">
            <v>124760000</v>
          </cell>
          <cell r="K1129">
            <v>0</v>
          </cell>
          <cell r="L1129">
            <v>124760000</v>
          </cell>
        </row>
        <row r="1130">
          <cell r="B1130" t="str">
            <v>SAHA55AC</v>
          </cell>
          <cell r="C1130" t="str">
            <v>Sahala/Syaiful</v>
          </cell>
          <cell r="D1130" t="str">
            <v>Risnoto</v>
          </cell>
          <cell r="E1130" t="str">
            <v>Dsn. Maner, RT.003/RW.006, Kel. Sumurcinde, Kec. Soko</v>
          </cell>
          <cell r="F1130" t="str">
            <v>Tuban</v>
          </cell>
          <cell r="G1130" t="str">
            <v>3523111704700008</v>
          </cell>
          <cell r="H1130" t="str">
            <v>000000000000000</v>
          </cell>
          <cell r="J1130">
            <v>125128000</v>
          </cell>
          <cell r="K1130">
            <v>0</v>
          </cell>
          <cell r="L1130">
            <v>125128000</v>
          </cell>
        </row>
        <row r="1131">
          <cell r="B1131" t="str">
            <v>SAHA56AC</v>
          </cell>
          <cell r="C1131" t="str">
            <v>Sahala/Syaiful</v>
          </cell>
          <cell r="D1131" t="str">
            <v>Suliman</v>
          </cell>
          <cell r="E1131" t="str">
            <v>Sumurcinde, RT.003/RW.006, Kel. Sumurcinde, Kec. Soko</v>
          </cell>
          <cell r="F1131" t="str">
            <v>Tuban</v>
          </cell>
          <cell r="G1131" t="str">
            <v>3523110407410002</v>
          </cell>
          <cell r="H1131" t="str">
            <v>000000000000000</v>
          </cell>
          <cell r="J1131">
            <v>123032000</v>
          </cell>
          <cell r="K1131">
            <v>0</v>
          </cell>
          <cell r="L1131">
            <v>123032000</v>
          </cell>
        </row>
        <row r="1132">
          <cell r="B1132" t="str">
            <v>SAHA58AC</v>
          </cell>
          <cell r="C1132" t="str">
            <v>Sahala/Syaiful</v>
          </cell>
          <cell r="D1132" t="str">
            <v>Kasduri</v>
          </cell>
          <cell r="E1132" t="str">
            <v>Sumurcinde, RT.003/RW.007, Kel. Sumurcinde, Kec. Soko</v>
          </cell>
          <cell r="F1132" t="str">
            <v>Tuban</v>
          </cell>
          <cell r="G1132" t="str">
            <v>3523110609660003</v>
          </cell>
          <cell r="H1132" t="str">
            <v>000000000000000</v>
          </cell>
          <cell r="J1132">
            <v>123120000</v>
          </cell>
          <cell r="K1132">
            <v>0</v>
          </cell>
          <cell r="L1132">
            <v>123120000</v>
          </cell>
        </row>
        <row r="1133">
          <cell r="B1133" t="str">
            <v>SAHA59AC</v>
          </cell>
          <cell r="C1133" t="str">
            <v>Sahala/Syaiful</v>
          </cell>
          <cell r="D1133" t="str">
            <v>Sukarti</v>
          </cell>
          <cell r="E1133" t="str">
            <v>Sumurcinde, Kel. Sumurcinde, Kec. Soko</v>
          </cell>
          <cell r="F1133" t="str">
            <v>Tuban</v>
          </cell>
          <cell r="G1133" t="str">
            <v>3523114401820002</v>
          </cell>
          <cell r="H1133" t="str">
            <v>000000000000000</v>
          </cell>
          <cell r="J1133">
            <v>149352000</v>
          </cell>
          <cell r="K1133">
            <v>0</v>
          </cell>
          <cell r="L1133">
            <v>149352000</v>
          </cell>
        </row>
        <row r="1134">
          <cell r="B1134" t="str">
            <v>SAHA60AC</v>
          </cell>
          <cell r="C1134" t="str">
            <v>Sahala/Syaiful</v>
          </cell>
          <cell r="D1134" t="str">
            <v>Risa Farihatul Ilma</v>
          </cell>
          <cell r="E1134" t="str">
            <v>Ds. Mentoro, RT.007/RW.001, Kel. Mentoro, Kec. Soko</v>
          </cell>
          <cell r="F1134" t="str">
            <v>Tuban</v>
          </cell>
          <cell r="G1134" t="str">
            <v>3517085201920001</v>
          </cell>
          <cell r="H1134" t="str">
            <v>000000000000000</v>
          </cell>
          <cell r="I1134" t="str">
            <v>Cek lagi juli 2024 awalnya tdk bisa upload tp coba lagi aja</v>
          </cell>
          <cell r="J1134">
            <v>126120000</v>
          </cell>
          <cell r="K1134">
            <v>0</v>
          </cell>
          <cell r="L1134">
            <v>126120000</v>
          </cell>
        </row>
        <row r="1135">
          <cell r="B1135" t="str">
            <v>SAHA61AC</v>
          </cell>
          <cell r="C1135" t="str">
            <v>Sahala/Syaiful</v>
          </cell>
          <cell r="D1135" t="str">
            <v>Syntia Amanda Febriyani</v>
          </cell>
          <cell r="E1135" t="str">
            <v>Jl. Phendem, RT.012/RW.001, Kel. Sidobandung, Kec. Balen</v>
          </cell>
          <cell r="F1135" t="str">
            <v>Bojonegoro</v>
          </cell>
          <cell r="G1135" t="str">
            <v>3522135102030001</v>
          </cell>
          <cell r="H1135" t="str">
            <v>000000000000000</v>
          </cell>
          <cell r="J1135">
            <v>146856000</v>
          </cell>
          <cell r="K1135">
            <v>0</v>
          </cell>
          <cell r="L1135">
            <v>146856000</v>
          </cell>
        </row>
        <row r="1136">
          <cell r="B1136" t="str">
            <v>SAHA62AC</v>
          </cell>
          <cell r="C1136" t="str">
            <v>Sahala/Syaiful</v>
          </cell>
          <cell r="D1136" t="str">
            <v>Wiji Lestari Istikomah</v>
          </cell>
          <cell r="E1136" t="str">
            <v>Sumurcinde, RT.006/RW.001, Kel. Sumurcinde, Kec. Soko</v>
          </cell>
          <cell r="F1136" t="str">
            <v>Tuban</v>
          </cell>
          <cell r="G1136" t="str">
            <v>3523115507940003</v>
          </cell>
          <cell r="H1136" t="str">
            <v>000000000000000</v>
          </cell>
          <cell r="J1136">
            <v>124408000</v>
          </cell>
          <cell r="K1136">
            <v>0</v>
          </cell>
          <cell r="L1136">
            <v>124408000</v>
          </cell>
        </row>
        <row r="1137">
          <cell r="B1137" t="str">
            <v>SAHA63AC</v>
          </cell>
          <cell r="C1137" t="str">
            <v>Sahala/Syaiful</v>
          </cell>
          <cell r="D1137" t="str">
            <v>Sukanto</v>
          </cell>
          <cell r="E1137" t="str">
            <v>Ds. Mentoro, RT.008/RW.001, Kel. Mentoro, Kec. Soko</v>
          </cell>
          <cell r="F1137" t="str">
            <v>Tuban</v>
          </cell>
          <cell r="G1137" t="str">
            <v>3523111210760002</v>
          </cell>
          <cell r="H1137" t="str">
            <v>000000000000000</v>
          </cell>
          <cell r="J1137">
            <v>148108000</v>
          </cell>
          <cell r="K1137">
            <v>0</v>
          </cell>
          <cell r="L1137">
            <v>148108000</v>
          </cell>
        </row>
        <row r="1138">
          <cell r="B1138" t="str">
            <v>SAHA64AC</v>
          </cell>
          <cell r="C1138" t="str">
            <v>Sahala/Syaiful</v>
          </cell>
          <cell r="D1138" t="str">
            <v>Mistakul Rohman</v>
          </cell>
          <cell r="E1138" t="str">
            <v>Dsn. Sumerdadi, RT.003/RW.003, Kel. Mentoro, Kec. Soko</v>
          </cell>
          <cell r="F1138" t="str">
            <v>Tuban</v>
          </cell>
          <cell r="G1138" t="str">
            <v>3523112709930002</v>
          </cell>
          <cell r="H1138" t="str">
            <v>000000000000000</v>
          </cell>
          <cell r="J1138">
            <v>112436000</v>
          </cell>
          <cell r="K1138">
            <v>0</v>
          </cell>
          <cell r="L1138">
            <v>112436000</v>
          </cell>
        </row>
        <row r="1139">
          <cell r="B1139" t="str">
            <v>SAHA65AC</v>
          </cell>
          <cell r="C1139" t="str">
            <v>Sahala/Syaiful</v>
          </cell>
          <cell r="D1139" t="str">
            <v>Teguh Hariono</v>
          </cell>
          <cell r="E1139" t="str">
            <v>Dusun Kendal, RT.002/RW.002, Kel. Sidodadi, Kec. Sukosewu</v>
          </cell>
          <cell r="F1139" t="str">
            <v>Bojonegoro</v>
          </cell>
          <cell r="G1139" t="str">
            <v>3522240406780003</v>
          </cell>
          <cell r="H1139" t="str">
            <v>000000000000000</v>
          </cell>
          <cell r="J1139">
            <v>137652000</v>
          </cell>
          <cell r="K1139">
            <v>0</v>
          </cell>
          <cell r="L1139">
            <v>137652000</v>
          </cell>
        </row>
        <row r="1140">
          <cell r="B1140" t="str">
            <v>SAHA66AC</v>
          </cell>
          <cell r="C1140" t="str">
            <v>Sahala/Syaiful</v>
          </cell>
          <cell r="D1140" t="str">
            <v>Wiwik Purwanti</v>
          </cell>
          <cell r="E1140" t="str">
            <v>Dusun Kendal, RT.002/RW.002, Kel. Sidodadi, Kec. Sukosewu</v>
          </cell>
          <cell r="F1140" t="str">
            <v>Bojonegoro</v>
          </cell>
          <cell r="G1140" t="str">
            <v>3522246810820003</v>
          </cell>
          <cell r="H1140" t="str">
            <v>000000000000000</v>
          </cell>
          <cell r="J1140">
            <v>110064000</v>
          </cell>
          <cell r="K1140">
            <v>0</v>
          </cell>
          <cell r="L1140">
            <v>110064000</v>
          </cell>
        </row>
        <row r="1141">
          <cell r="B1141" t="str">
            <v>SAHA67AC</v>
          </cell>
          <cell r="C1141" t="str">
            <v>Sahala/Syaiful</v>
          </cell>
          <cell r="D1141" t="str">
            <v>Wiwik Mujiasih</v>
          </cell>
          <cell r="E1141" t="str">
            <v>Dsn. Sawahan, RT005/RW.001, Kel. Prambontergayang, Kec. Soko</v>
          </cell>
          <cell r="F1141" t="str">
            <v>Tuban</v>
          </cell>
          <cell r="G1141" t="str">
            <v>3523114509810002</v>
          </cell>
          <cell r="H1141" t="str">
            <v>000000000000000</v>
          </cell>
          <cell r="J1141">
            <v>110064000</v>
          </cell>
          <cell r="K1141">
            <v>0</v>
          </cell>
          <cell r="L1141">
            <v>110064000</v>
          </cell>
        </row>
        <row r="1142">
          <cell r="B1142" t="str">
            <v>SAHA68AC</v>
          </cell>
          <cell r="C1142" t="str">
            <v>Sahala/Syaiful</v>
          </cell>
          <cell r="D1142" t="str">
            <v>Juwarpi'ah</v>
          </cell>
          <cell r="E1142" t="str">
            <v>Prambontergayang, RT.005/RW.001, Kel. Prambotergayang, Kec. Soko</v>
          </cell>
          <cell r="F1142" t="str">
            <v>Tuban</v>
          </cell>
          <cell r="G1142" t="str">
            <v>3523115812750002</v>
          </cell>
          <cell r="H1142" t="str">
            <v>000000000000000</v>
          </cell>
          <cell r="J1142">
            <v>136560000</v>
          </cell>
          <cell r="K1142">
            <v>0</v>
          </cell>
          <cell r="L1142">
            <v>136560000</v>
          </cell>
        </row>
        <row r="1143">
          <cell r="B1143" t="str">
            <v>SAHA69AC</v>
          </cell>
          <cell r="C1143" t="str">
            <v>Sahala/Syaiful</v>
          </cell>
          <cell r="D1143" t="str">
            <v>Dian Eryaning</v>
          </cell>
          <cell r="E1143" t="str">
            <v>Ds. Mentoro, RT.008/RW.001, Kel. Mentoro, Kec. Soko</v>
          </cell>
          <cell r="F1143" t="str">
            <v>Tuban</v>
          </cell>
          <cell r="G1143" t="str">
            <v>3523116712920003</v>
          </cell>
          <cell r="H1143" t="str">
            <v>000000000000000</v>
          </cell>
          <cell r="J1143">
            <v>106608000</v>
          </cell>
          <cell r="K1143">
            <v>0</v>
          </cell>
          <cell r="L1143">
            <v>106608000</v>
          </cell>
        </row>
        <row r="1144">
          <cell r="B1144" t="str">
            <v>SAHA70AC</v>
          </cell>
          <cell r="C1144" t="str">
            <v>Sahala/Syaiful</v>
          </cell>
          <cell r="D1144" t="str">
            <v>Siti Roni Widana</v>
          </cell>
          <cell r="E1144" t="str">
            <v>Ds. Mentoro, RT.007/RW.001, Kel. Mentoro, Kec. Soko</v>
          </cell>
          <cell r="F1144" t="str">
            <v>Tuban</v>
          </cell>
          <cell r="G1144" t="str">
            <v>3523054612960001</v>
          </cell>
          <cell r="H1144" t="str">
            <v>000000000000000</v>
          </cell>
          <cell r="J1144">
            <v>113460000</v>
          </cell>
          <cell r="K1144">
            <v>0</v>
          </cell>
          <cell r="L1144">
            <v>113460000</v>
          </cell>
        </row>
        <row r="1145">
          <cell r="B1145" t="str">
            <v>SAHA71AC</v>
          </cell>
          <cell r="C1145" t="str">
            <v>Sahala/Syaiful</v>
          </cell>
          <cell r="D1145" t="str">
            <v>Tri Nurhayati</v>
          </cell>
          <cell r="E1145" t="str">
            <v>Ds. Mentoro, RT.007/RW.001, Kel. Mentoro, Kec. Soko</v>
          </cell>
          <cell r="F1145" t="str">
            <v>Tuban</v>
          </cell>
          <cell r="G1145" t="str">
            <v>3523115002930006</v>
          </cell>
          <cell r="H1145" t="str">
            <v>000000000000000</v>
          </cell>
          <cell r="J1145">
            <v>136296000</v>
          </cell>
          <cell r="K1145">
            <v>0</v>
          </cell>
          <cell r="L1145">
            <v>136296000</v>
          </cell>
        </row>
        <row r="1146">
          <cell r="B1146" t="str">
            <v>SAHA72AC</v>
          </cell>
          <cell r="C1146" t="str">
            <v>Sahala/Syaiful</v>
          </cell>
          <cell r="D1146" t="str">
            <v>Sulistiyani</v>
          </cell>
          <cell r="E1146" t="str">
            <v>Ds. Mentoro, RT.006/RW.001, Kel. Mentoro, Kec. Soko</v>
          </cell>
          <cell r="F1146" t="str">
            <v>Tuban</v>
          </cell>
          <cell r="G1146" t="str">
            <v>3523115411930001</v>
          </cell>
          <cell r="H1146" t="str">
            <v>000000000000000</v>
          </cell>
          <cell r="J1146">
            <v>121536000</v>
          </cell>
          <cell r="K1146">
            <v>0</v>
          </cell>
          <cell r="L1146">
            <v>121536000</v>
          </cell>
        </row>
        <row r="1147">
          <cell r="B1147" t="str">
            <v>SAHA73AC</v>
          </cell>
          <cell r="C1147" t="str">
            <v>Sahala/Syaiful</v>
          </cell>
          <cell r="D1147" t="str">
            <v>Lilik Qomariyah</v>
          </cell>
          <cell r="E1147" t="str">
            <v>Ds. Mentoro, RT.006/RW.001, Kel. Mentoro, Kec. Soko</v>
          </cell>
          <cell r="F1147" t="str">
            <v>Tuban</v>
          </cell>
          <cell r="G1147" t="str">
            <v>3523115910880002</v>
          </cell>
          <cell r="H1147" t="str">
            <v>000000000000000</v>
          </cell>
          <cell r="J1147">
            <v>125568000</v>
          </cell>
          <cell r="K1147">
            <v>0</v>
          </cell>
          <cell r="L1147">
            <v>125568000</v>
          </cell>
        </row>
        <row r="1148">
          <cell r="B1148" t="str">
            <v>SAHA74AC</v>
          </cell>
          <cell r="C1148" t="str">
            <v>Sahala/Syaiful</v>
          </cell>
          <cell r="D1148" t="str">
            <v>Agung Adi Saputro</v>
          </cell>
          <cell r="E1148" t="str">
            <v>Prambontergayang, RT.005/RW.001, Kel. Prambontergayang, Kec. Soko</v>
          </cell>
          <cell r="F1148" t="str">
            <v>Tuban</v>
          </cell>
          <cell r="G1148" t="str">
            <v>3523111108000003</v>
          </cell>
          <cell r="H1148" t="str">
            <v>000000000000000</v>
          </cell>
          <cell r="J1148">
            <v>149124000</v>
          </cell>
          <cell r="K1148">
            <v>0</v>
          </cell>
          <cell r="L1148">
            <v>149124000</v>
          </cell>
        </row>
        <row r="1149">
          <cell r="B1149" t="str">
            <v>SAHA75AC</v>
          </cell>
          <cell r="C1149" t="str">
            <v>Sahala/Syaiful</v>
          </cell>
          <cell r="D1149" t="str">
            <v>Fauzun</v>
          </cell>
          <cell r="E1149" t="str">
            <v>Simo Krajan, RT.003/RW.001, Kel. Simo, Kec. Soko</v>
          </cell>
          <cell r="F1149" t="str">
            <v>Tuban</v>
          </cell>
          <cell r="G1149" t="str">
            <v>3523112102670001</v>
          </cell>
          <cell r="H1149" t="str">
            <v>000000000000000</v>
          </cell>
          <cell r="J1149">
            <v>125568000</v>
          </cell>
          <cell r="K1149">
            <v>0</v>
          </cell>
          <cell r="L1149">
            <v>125568000</v>
          </cell>
        </row>
        <row r="1150">
          <cell r="B1150" t="str">
            <v>SAHA76AC</v>
          </cell>
          <cell r="C1150" t="str">
            <v>Sahala/Syaiful</v>
          </cell>
          <cell r="D1150" t="str">
            <v>Sa'roni</v>
          </cell>
          <cell r="E1150" t="str">
            <v>Dsn Sundulan, RT.002/RW.001, Kel. Sandingrowo, Kec. Soko</v>
          </cell>
          <cell r="F1150" t="str">
            <v>Tuban</v>
          </cell>
          <cell r="G1150" t="str">
            <v>3523111605720003</v>
          </cell>
          <cell r="H1150" t="str">
            <v>000000000000000</v>
          </cell>
          <cell r="J1150">
            <v>123264000</v>
          </cell>
          <cell r="K1150">
            <v>0</v>
          </cell>
          <cell r="L1150">
            <v>123264000</v>
          </cell>
        </row>
        <row r="1151">
          <cell r="B1151" t="str">
            <v>SAHA77AC</v>
          </cell>
          <cell r="C1151" t="str">
            <v>Sahala/Syaiful</v>
          </cell>
          <cell r="D1151" t="str">
            <v>Wijiyanto</v>
          </cell>
          <cell r="E1151" t="str">
            <v>Dusun Krajan, RT.001/RW.001, Kel. Mojodeso, Kec. Kapas</v>
          </cell>
          <cell r="F1151" t="str">
            <v>Bojonegoro</v>
          </cell>
          <cell r="G1151" t="str">
            <v>3522132404800003</v>
          </cell>
          <cell r="H1151" t="str">
            <v>000000000000000</v>
          </cell>
          <cell r="J1151">
            <v>146976000</v>
          </cell>
          <cell r="K1151">
            <v>0</v>
          </cell>
          <cell r="L1151">
            <v>146976000</v>
          </cell>
        </row>
        <row r="1152">
          <cell r="B1152" t="str">
            <v>SAHA78AC</v>
          </cell>
          <cell r="C1152" t="str">
            <v>Sahala/Syaiful</v>
          </cell>
          <cell r="D1152" t="str">
            <v>Hamdan M. Nafi</v>
          </cell>
          <cell r="E1152" t="str">
            <v>Simo krajan, RT.002/RW.002, Kel. Simo, Kec. Soko</v>
          </cell>
          <cell r="F1152" t="str">
            <v>Tuban</v>
          </cell>
          <cell r="G1152" t="str">
            <v>3523110408920001</v>
          </cell>
          <cell r="H1152" t="str">
            <v>000000000000000</v>
          </cell>
          <cell r="J1152">
            <v>121536000</v>
          </cell>
          <cell r="K1152">
            <v>0</v>
          </cell>
          <cell r="L1152">
            <v>121536000</v>
          </cell>
        </row>
        <row r="1153">
          <cell r="B1153" t="str">
            <v>SAHA79AC</v>
          </cell>
          <cell r="C1153" t="str">
            <v>Sahala/Syaiful</v>
          </cell>
          <cell r="D1153" t="str">
            <v>Pujinah</v>
          </cell>
          <cell r="E1153" t="str">
            <v>Sumur Pandan, RT.003/RW.005, Kel. Sumberjokidul, Kec. Sukosewu</v>
          </cell>
          <cell r="F1153" t="str">
            <v>Bojonegoro</v>
          </cell>
          <cell r="G1153" t="str">
            <v>3522245008660003</v>
          </cell>
          <cell r="H1153" t="str">
            <v>000000000000000</v>
          </cell>
          <cell r="J1153">
            <v>138816000</v>
          </cell>
          <cell r="K1153">
            <v>0</v>
          </cell>
          <cell r="L1153">
            <v>138816000</v>
          </cell>
        </row>
        <row r="1154">
          <cell r="B1154" t="str">
            <v>SAHA80AC</v>
          </cell>
          <cell r="C1154" t="str">
            <v>Sahala/Syaiful</v>
          </cell>
          <cell r="D1154" t="str">
            <v>Suparno</v>
          </cell>
          <cell r="E1154" t="str">
            <v>Sumberjo Kidul, RT.004/RW.005, Kel. Sumberjokidul, Kec. Sukosewu</v>
          </cell>
          <cell r="F1154" t="str">
            <v>Bojonegoro</v>
          </cell>
          <cell r="G1154" t="str">
            <v>3522240508600003</v>
          </cell>
          <cell r="H1154" t="str">
            <v>000000000000000</v>
          </cell>
          <cell r="J1154">
            <v>149124000</v>
          </cell>
          <cell r="K1154">
            <v>0</v>
          </cell>
          <cell r="L1154">
            <v>149124000</v>
          </cell>
        </row>
        <row r="1155">
          <cell r="B1155" t="str">
            <v>SAHA81AC</v>
          </cell>
          <cell r="C1155" t="str">
            <v>Sahala/Syaiful</v>
          </cell>
          <cell r="D1155" t="str">
            <v>Mardi</v>
          </cell>
          <cell r="E1155" t="str">
            <v>Dusun Sumur Pandan, RT.003/RW.005, Kel. Sumberjokidul, Kec. Sukosewu</v>
          </cell>
          <cell r="F1155" t="str">
            <v>Bojonegoro</v>
          </cell>
          <cell r="G1155" t="str">
            <v>3522241607700003</v>
          </cell>
          <cell r="H1155" t="str">
            <v>000000000000000</v>
          </cell>
          <cell r="J1155">
            <v>123840000</v>
          </cell>
          <cell r="K1155">
            <v>0</v>
          </cell>
          <cell r="L1155">
            <v>123840000</v>
          </cell>
        </row>
        <row r="1156">
          <cell r="B1156" t="str">
            <v>SAHA83AC</v>
          </cell>
          <cell r="C1156" t="str">
            <v>Sahala/Syaiful</v>
          </cell>
          <cell r="D1156" t="str">
            <v>Said</v>
          </cell>
          <cell r="E1156" t="str">
            <v>Sumur Pandan, RT.004/RW.005, Kel. Sumberjokidul, Kec. Sukosewu</v>
          </cell>
          <cell r="F1156" t="str">
            <v>Bojonegoro</v>
          </cell>
          <cell r="G1156" t="str">
            <v>3522240610690002</v>
          </cell>
          <cell r="H1156" t="str">
            <v>000000000000000</v>
          </cell>
          <cell r="J1156">
            <v>111776000</v>
          </cell>
          <cell r="K1156">
            <v>0</v>
          </cell>
          <cell r="L1156">
            <v>111776000</v>
          </cell>
        </row>
        <row r="1157">
          <cell r="B1157" t="str">
            <v>SAHA84AC</v>
          </cell>
          <cell r="C1157" t="str">
            <v>Sahala/Syaiful</v>
          </cell>
          <cell r="D1157" t="str">
            <v>Supatmin</v>
          </cell>
          <cell r="E1157" t="str">
            <v>Sumur Pandan, RT.003/RW.005, Kel. Sumberjokidul, Kec. Sukosewu</v>
          </cell>
          <cell r="F1157" t="str">
            <v>Bojonegoro</v>
          </cell>
          <cell r="G1157" t="str">
            <v>3522240208500001</v>
          </cell>
          <cell r="H1157" t="str">
            <v>000000000000000</v>
          </cell>
          <cell r="J1157">
            <v>87584000</v>
          </cell>
          <cell r="K1157">
            <v>0</v>
          </cell>
          <cell r="L1157">
            <v>87584000</v>
          </cell>
        </row>
        <row r="1158">
          <cell r="B1158" t="str">
            <v>SAHA85AC</v>
          </cell>
          <cell r="C1158" t="str">
            <v>Sahala/Syaiful</v>
          </cell>
          <cell r="D1158" t="str">
            <v>Mujiah</v>
          </cell>
          <cell r="E1158" t="str">
            <v>Sumur Pandan, RT.003/RW.005, Kel. Sumberjokidul, Kec. Sukosewu</v>
          </cell>
          <cell r="F1158" t="str">
            <v>Bojonegoro</v>
          </cell>
          <cell r="G1158" t="str">
            <v>3522246006600005</v>
          </cell>
          <cell r="H1158" t="str">
            <v>000000000000000</v>
          </cell>
          <cell r="J1158">
            <v>125396000</v>
          </cell>
          <cell r="K1158">
            <v>0</v>
          </cell>
          <cell r="L1158">
            <v>125396000</v>
          </cell>
        </row>
        <row r="1159">
          <cell r="B1159" t="str">
            <v>SAHA86AC</v>
          </cell>
          <cell r="C1159" t="str">
            <v>Sahala/Syaiful</v>
          </cell>
          <cell r="D1159" t="str">
            <v>Warjono</v>
          </cell>
          <cell r="E1159" t="str">
            <v>Sumur Pandan, RT.003/RW.005, Kel. Sumberjokidul, Kec. Sukosewu</v>
          </cell>
          <cell r="F1159" t="str">
            <v>Bojonegoro</v>
          </cell>
          <cell r="G1159" t="str">
            <v>3522240304700009</v>
          </cell>
          <cell r="H1159" t="str">
            <v>000000000000000</v>
          </cell>
          <cell r="J1159">
            <v>137276000</v>
          </cell>
          <cell r="K1159">
            <v>0</v>
          </cell>
          <cell r="L1159">
            <v>137276000</v>
          </cell>
        </row>
        <row r="1160">
          <cell r="B1160" t="str">
            <v>SAHA88AC</v>
          </cell>
          <cell r="C1160" t="str">
            <v>Sahala/Syaiful</v>
          </cell>
          <cell r="D1160" t="str">
            <v>Parwito</v>
          </cell>
          <cell r="E1160" t="str">
            <v>Sumberjo Kidul, RT.004/RW.005, Kel. Sumberjokidul, Kec. Sukosewu</v>
          </cell>
          <cell r="F1160" t="str">
            <v>Bojonegoro</v>
          </cell>
          <cell r="G1160" t="str">
            <v>3522240110720016</v>
          </cell>
          <cell r="H1160" t="str">
            <v>000000000000000</v>
          </cell>
          <cell r="J1160">
            <v>107168000</v>
          </cell>
          <cell r="K1160">
            <v>0</v>
          </cell>
          <cell r="L1160">
            <v>107168000</v>
          </cell>
        </row>
        <row r="1161">
          <cell r="B1161" t="str">
            <v>SAHA89AC</v>
          </cell>
          <cell r="C1161" t="str">
            <v>Sahala/Syaiful</v>
          </cell>
          <cell r="D1161" t="str">
            <v>Martinah</v>
          </cell>
          <cell r="E1161" t="str">
            <v>Sumberjo Kidul, RT.004/RW.005, Kel. Sumberjokidul, Kec. Sukosewu</v>
          </cell>
          <cell r="F1161" t="str">
            <v>Bojonegoro</v>
          </cell>
          <cell r="G1161" t="str">
            <v>3522245406720004</v>
          </cell>
          <cell r="H1161" t="str">
            <v>000000000000000</v>
          </cell>
          <cell r="J1161">
            <v>124448000</v>
          </cell>
          <cell r="K1161">
            <v>0</v>
          </cell>
          <cell r="L1161">
            <v>124448000</v>
          </cell>
        </row>
        <row r="1162">
          <cell r="B1162" t="str">
            <v>SAHA90AC</v>
          </cell>
          <cell r="C1162" t="str">
            <v>Sahala/Syaiful</v>
          </cell>
          <cell r="D1162" t="str">
            <v>Sakrip</v>
          </cell>
          <cell r="E1162" t="str">
            <v>Sumur Pandan, RT.003/RW.005, Kel. Sumberjokidul, Kec. Sukosewu</v>
          </cell>
          <cell r="F1162" t="str">
            <v>Bojonegoro</v>
          </cell>
          <cell r="G1162" t="str">
            <v>3522241011540002</v>
          </cell>
          <cell r="H1162" t="str">
            <v>000000000000000</v>
          </cell>
          <cell r="J1162">
            <v>96848000</v>
          </cell>
          <cell r="K1162">
            <v>0</v>
          </cell>
          <cell r="L1162">
            <v>96848000</v>
          </cell>
        </row>
        <row r="1163">
          <cell r="B1163" t="str">
            <v>SAHA92AC</v>
          </cell>
          <cell r="C1163" t="str">
            <v>Sahala/Syaiful</v>
          </cell>
          <cell r="D1163" t="str">
            <v>Maskanto</v>
          </cell>
          <cell r="E1163" t="str">
            <v>Dusun Sumur Pandan, RT.003/RW.005, Kel. Sumberjokidul, Kec. Sukosewu</v>
          </cell>
          <cell r="F1163" t="str">
            <v>Bojonegoro</v>
          </cell>
          <cell r="G1163" t="str">
            <v>3522240310740001</v>
          </cell>
          <cell r="H1163" t="str">
            <v>000000000000000</v>
          </cell>
          <cell r="J1163">
            <v>122588000.00000003</v>
          </cell>
          <cell r="K1163">
            <v>0</v>
          </cell>
          <cell r="L1163">
            <v>122588000.00000003</v>
          </cell>
        </row>
        <row r="1164">
          <cell r="B1164" t="str">
            <v>SAHA93AC</v>
          </cell>
          <cell r="C1164" t="str">
            <v>Sahala/Syaiful</v>
          </cell>
          <cell r="D1164" t="str">
            <v>Endang Sunarsih</v>
          </cell>
          <cell r="E1164" t="str">
            <v>Dusun Sumur Pandan, RT.003/RW.005, Kel. Sumberjokidul, Kec. Sukosewu</v>
          </cell>
          <cell r="F1164" t="str">
            <v>Bojonegoro</v>
          </cell>
          <cell r="G1164" t="str">
            <v>3522246904690001</v>
          </cell>
          <cell r="H1164" t="str">
            <v>000000000000000</v>
          </cell>
          <cell r="J1164">
            <v>89856000</v>
          </cell>
          <cell r="K1164">
            <v>0</v>
          </cell>
          <cell r="L1164">
            <v>89856000</v>
          </cell>
        </row>
        <row r="1165">
          <cell r="B1165" t="str">
            <v>SAHA94AC</v>
          </cell>
          <cell r="C1165" t="str">
            <v>Sahala/Syaiful</v>
          </cell>
          <cell r="D1165" t="str">
            <v>Darno</v>
          </cell>
          <cell r="E1165" t="str">
            <v>Sumur Pandan, RT.003/RW.005, Kel. Sumberjokidul, Kec. Sukosewu</v>
          </cell>
          <cell r="F1165" t="str">
            <v>Bojonegoro</v>
          </cell>
          <cell r="G1165" t="str">
            <v>3522240504730002</v>
          </cell>
          <cell r="H1165" t="str">
            <v>000000000000000</v>
          </cell>
          <cell r="J1165">
            <v>102360000</v>
          </cell>
          <cell r="K1165">
            <v>0</v>
          </cell>
          <cell r="L1165">
            <v>102360000</v>
          </cell>
        </row>
        <row r="1166">
          <cell r="B1166" t="str">
            <v>SAHA95AC</v>
          </cell>
          <cell r="C1166" t="str">
            <v>Sahala/Syaiful</v>
          </cell>
          <cell r="D1166" t="str">
            <v>Ngatipan</v>
          </cell>
          <cell r="E1166" t="str">
            <v>Sumur Pandan, RT.003/RW.005, Kel. Sumberjokidul, Kec. Sukosewu</v>
          </cell>
          <cell r="F1166" t="str">
            <v>Bojonegoro</v>
          </cell>
          <cell r="G1166" t="str">
            <v>3522241506510003</v>
          </cell>
          <cell r="H1166" t="str">
            <v>000000000000000</v>
          </cell>
          <cell r="J1166">
            <v>114816000</v>
          </cell>
          <cell r="K1166">
            <v>0</v>
          </cell>
          <cell r="L1166">
            <v>114816000</v>
          </cell>
        </row>
        <row r="1167">
          <cell r="B1167" t="str">
            <v>SAHA96AC</v>
          </cell>
          <cell r="C1167" t="str">
            <v>Sahala/Syaiful</v>
          </cell>
          <cell r="D1167" t="str">
            <v>Munahar</v>
          </cell>
          <cell r="E1167" t="str">
            <v>Sumur Pandan, RT.003/RW.005, Kel. Sumberjokidul, Kec. Sukosewu</v>
          </cell>
          <cell r="F1167" t="str">
            <v>Bojonegoro</v>
          </cell>
          <cell r="G1167" t="str">
            <v>3522240506730003</v>
          </cell>
          <cell r="H1167" t="str">
            <v>000000000000000</v>
          </cell>
          <cell r="J1167">
            <v>88128000</v>
          </cell>
          <cell r="K1167">
            <v>0</v>
          </cell>
          <cell r="L1167">
            <v>88128000</v>
          </cell>
        </row>
        <row r="1168">
          <cell r="B1168" t="str">
            <v>SAHA97AC</v>
          </cell>
          <cell r="C1168" t="str">
            <v>Sahala/Syaiful</v>
          </cell>
          <cell r="D1168" t="str">
            <v>Jaelan</v>
          </cell>
          <cell r="E1168" t="str">
            <v>Sumur Pandan, RT.014/RW.005, Kel. Sumberjokidul, Kec. Sukosewu</v>
          </cell>
          <cell r="F1168" t="str">
            <v>Bojonegoro</v>
          </cell>
          <cell r="G1168" t="str">
            <v>3522241307740003</v>
          </cell>
          <cell r="H1168" t="str">
            <v>000000000000000</v>
          </cell>
          <cell r="J1168">
            <v>100080000</v>
          </cell>
          <cell r="K1168">
            <v>0</v>
          </cell>
          <cell r="L1168">
            <v>100080000</v>
          </cell>
        </row>
        <row r="1169">
          <cell r="B1169" t="str">
            <v>SAHA98AC</v>
          </cell>
          <cell r="C1169" t="str">
            <v>Sahala/Syaiful</v>
          </cell>
          <cell r="D1169" t="str">
            <v>Sutrisno</v>
          </cell>
          <cell r="E1169" t="str">
            <v>Dusun Sumur Pandan, RT.004/RW.005, Kel. Sumberjokidul, Kec. Sukosewu</v>
          </cell>
          <cell r="F1169" t="str">
            <v>Bojonegoro</v>
          </cell>
          <cell r="G1169" t="str">
            <v>3522241006860003</v>
          </cell>
          <cell r="H1169" t="str">
            <v>000000000000000</v>
          </cell>
          <cell r="J1169">
            <v>105120000</v>
          </cell>
          <cell r="K1169">
            <v>0</v>
          </cell>
          <cell r="L1169">
            <v>105120000</v>
          </cell>
        </row>
        <row r="1170">
          <cell r="B1170" t="str">
            <v>SAHA99AC</v>
          </cell>
          <cell r="C1170" t="str">
            <v>Sahala/Syaiful</v>
          </cell>
          <cell r="D1170" t="str">
            <v>Djiran</v>
          </cell>
          <cell r="E1170" t="str">
            <v>Sumur Pandan, RT.004/RW.005, Kel. Sumberjokidul, Kec. Sukosewu</v>
          </cell>
          <cell r="F1170" t="str">
            <v>Bojonegoro</v>
          </cell>
          <cell r="G1170" t="str">
            <v>3522242210640001</v>
          </cell>
          <cell r="H1170" t="str">
            <v>000000000000000</v>
          </cell>
          <cell r="J1170">
            <v>110592000</v>
          </cell>
          <cell r="K1170">
            <v>0</v>
          </cell>
          <cell r="L1170">
            <v>110592000</v>
          </cell>
        </row>
        <row r="1171">
          <cell r="B1171" t="str">
            <v>SAHA134AC</v>
          </cell>
          <cell r="C1171" t="str">
            <v>Sahala/Syaiful</v>
          </cell>
          <cell r="D1171" t="str">
            <v>Saminah</v>
          </cell>
          <cell r="E1171" t="str">
            <v>Sumurcinde, Kel. Sumurcinde, Kec. Soko</v>
          </cell>
          <cell r="F1171" t="str">
            <v>Tuban</v>
          </cell>
          <cell r="G1171" t="str">
            <v>3523116008630002</v>
          </cell>
          <cell r="H1171" t="str">
            <v>000000000000000</v>
          </cell>
          <cell r="J1171">
            <v>89856000</v>
          </cell>
          <cell r="K1171">
            <v>0</v>
          </cell>
          <cell r="L1171">
            <v>89856000</v>
          </cell>
        </row>
        <row r="1172">
          <cell r="B1172" t="str">
            <v>SAHA135AC</v>
          </cell>
          <cell r="C1172" t="str">
            <v>Sahala/Syaiful</v>
          </cell>
          <cell r="D1172" t="str">
            <v>Susi Rumiana</v>
          </cell>
          <cell r="E1172" t="str">
            <v>Sumurcinde, RT.001/RW.007, Kel. Sumurcinde, Kec. Soko</v>
          </cell>
          <cell r="F1172" t="str">
            <v>Tuban</v>
          </cell>
          <cell r="G1172" t="str">
            <v>3523116510900003</v>
          </cell>
          <cell r="H1172" t="str">
            <v>000000000000000</v>
          </cell>
          <cell r="J1172">
            <v>103536000</v>
          </cell>
          <cell r="K1172">
            <v>0</v>
          </cell>
          <cell r="L1172">
            <v>103536000</v>
          </cell>
        </row>
        <row r="1173">
          <cell r="B1173" t="str">
            <v>SAHA136AC</v>
          </cell>
          <cell r="C1173" t="str">
            <v>Sahala/Syaiful</v>
          </cell>
          <cell r="D1173" t="str">
            <v>Moch Taman</v>
          </cell>
          <cell r="E1173" t="str">
            <v>Sumurcinde, RT.003/RW.007, Kel. Sumurcinde, Kec. Soko</v>
          </cell>
          <cell r="F1173" t="str">
            <v>Tuban</v>
          </cell>
          <cell r="G1173" t="str">
            <v>3523110110680002</v>
          </cell>
          <cell r="H1173" t="str">
            <v>000000000000000</v>
          </cell>
          <cell r="J1173">
            <v>95808000</v>
          </cell>
          <cell r="K1173">
            <v>0</v>
          </cell>
          <cell r="L1173">
            <v>95808000</v>
          </cell>
        </row>
        <row r="1174">
          <cell r="B1174" t="str">
            <v>SAHA137AC</v>
          </cell>
          <cell r="C1174" t="str">
            <v>Sahala/Syaiful</v>
          </cell>
          <cell r="D1174" t="str">
            <v>Abdul Matin</v>
          </cell>
          <cell r="E1174" t="str">
            <v>Sumurcinde, Kel. Sumurcinde, Kec. Soko</v>
          </cell>
          <cell r="F1174" t="str">
            <v>Tuban</v>
          </cell>
          <cell r="G1174" t="str">
            <v>3523111707840002</v>
          </cell>
          <cell r="H1174" t="str">
            <v>000000000000000</v>
          </cell>
          <cell r="J1174">
            <v>93312000</v>
          </cell>
          <cell r="K1174">
            <v>0</v>
          </cell>
          <cell r="L1174">
            <v>93312000</v>
          </cell>
        </row>
        <row r="1175">
          <cell r="B1175" t="str">
            <v>SAHA138AC</v>
          </cell>
          <cell r="C1175" t="str">
            <v>Sahala/Syaiful</v>
          </cell>
          <cell r="D1175" t="str">
            <v>Silah</v>
          </cell>
          <cell r="E1175" t="str">
            <v>Sumurcinde, RT.002/RW.005, Kel. Sumurcinde, Kec. Soko</v>
          </cell>
          <cell r="F1175" t="str">
            <v>Tuban</v>
          </cell>
          <cell r="G1175" t="str">
            <v>3523116601660001</v>
          </cell>
          <cell r="H1175" t="str">
            <v>000000000000000</v>
          </cell>
          <cell r="J1175">
            <v>95040000</v>
          </cell>
          <cell r="K1175">
            <v>0</v>
          </cell>
          <cell r="L1175">
            <v>95040000</v>
          </cell>
        </row>
        <row r="1176">
          <cell r="B1176" t="str">
            <v>SAHA139AC</v>
          </cell>
          <cell r="C1176" t="str">
            <v>Sahala/Syaiful</v>
          </cell>
          <cell r="D1176" t="str">
            <v>Suripah</v>
          </cell>
          <cell r="E1176" t="str">
            <v>Sumurcinde, RT.002/RW.007, Kel. Sumurcinde, Kec. Soko</v>
          </cell>
          <cell r="F1176" t="str">
            <v>Tuban</v>
          </cell>
          <cell r="G1176" t="str">
            <v>3523115205820002</v>
          </cell>
          <cell r="H1176" t="str">
            <v>000000000000000</v>
          </cell>
          <cell r="J1176">
            <v>118096000</v>
          </cell>
          <cell r="K1176">
            <v>0</v>
          </cell>
          <cell r="L1176">
            <v>118096000</v>
          </cell>
        </row>
        <row r="1177">
          <cell r="B1177" t="str">
            <v>SAHA140AC</v>
          </cell>
          <cell r="C1177" t="str">
            <v>Sahala/Syaiful</v>
          </cell>
          <cell r="D1177" t="str">
            <v>Parinah</v>
          </cell>
          <cell r="E1177" t="str">
            <v>Sumurcinde, RT.004/RW.007, Kel. Sumurcinde, Kec. Soko</v>
          </cell>
          <cell r="F1177" t="str">
            <v>Tuban</v>
          </cell>
          <cell r="G1177" t="str">
            <v>3523114607780007</v>
          </cell>
          <cell r="H1177" t="str">
            <v>000000000000000</v>
          </cell>
          <cell r="J1177">
            <v>117504000</v>
          </cell>
          <cell r="K1177">
            <v>0</v>
          </cell>
          <cell r="L1177">
            <v>117504000</v>
          </cell>
        </row>
        <row r="1178">
          <cell r="B1178" t="str">
            <v>SAHA141AC</v>
          </cell>
          <cell r="C1178" t="str">
            <v>Sahala/Syaiful</v>
          </cell>
          <cell r="D1178" t="str">
            <v>Sumirah</v>
          </cell>
          <cell r="E1178" t="str">
            <v>Sumurcinde, RT.004/RW.007, Kel. Sumurcinde, Kec. Soko</v>
          </cell>
          <cell r="F1178" t="str">
            <v>Tuban</v>
          </cell>
          <cell r="G1178" t="str">
            <v>3523114106580002</v>
          </cell>
          <cell r="H1178" t="str">
            <v>000000000000000</v>
          </cell>
          <cell r="J1178">
            <v>93312000</v>
          </cell>
          <cell r="K1178">
            <v>0</v>
          </cell>
          <cell r="L1178">
            <v>93312000</v>
          </cell>
        </row>
        <row r="1179">
          <cell r="B1179" t="str">
            <v>SAHA142AC</v>
          </cell>
          <cell r="C1179" t="str">
            <v>Sahala/Syaiful</v>
          </cell>
          <cell r="D1179" t="str">
            <v>Supiyah</v>
          </cell>
          <cell r="E1179" t="str">
            <v>Jatitengah RT.001/RW.001 Kel. Jatitengah Kec. Sugihwaras</v>
          </cell>
          <cell r="F1179" t="str">
            <v>Bojonegoro</v>
          </cell>
          <cell r="G1179" t="str">
            <v>3522075607650005</v>
          </cell>
          <cell r="H1179" t="str">
            <v>000000000000000</v>
          </cell>
          <cell r="J1179">
            <v>117504000</v>
          </cell>
          <cell r="K1179">
            <v>0</v>
          </cell>
          <cell r="L1179">
            <v>117504000</v>
          </cell>
        </row>
        <row r="1180">
          <cell r="B1180" t="str">
            <v>SAHA144AC</v>
          </cell>
          <cell r="C1180" t="str">
            <v>Sahala/Syaiful</v>
          </cell>
          <cell r="D1180" t="str">
            <v>Sayitno</v>
          </cell>
          <cell r="E1180" t="str">
            <v>Sumur Pandan, RT.004/RW.005, Kel. Sumberjokidul, Kec. Sukosewu</v>
          </cell>
          <cell r="F1180" t="str">
            <v>Bojonegoro</v>
          </cell>
          <cell r="G1180" t="str">
            <v>3522242205660002</v>
          </cell>
          <cell r="H1180" t="str">
            <v>000000000000000</v>
          </cell>
          <cell r="J1180">
            <v>88128000</v>
          </cell>
          <cell r="K1180">
            <v>0</v>
          </cell>
          <cell r="L1180">
            <v>88128000</v>
          </cell>
        </row>
        <row r="1181">
          <cell r="B1181" t="str">
            <v>SAHA145AC</v>
          </cell>
          <cell r="C1181" t="str">
            <v>Sahala/Syaiful</v>
          </cell>
          <cell r="D1181" t="str">
            <v>Agus Kurniawan</v>
          </cell>
          <cell r="E1181" t="str">
            <v>Sumur Pandan, RT.003/RW.005, Kel. Sumberjokidul, Kec. Sukosewu</v>
          </cell>
          <cell r="F1181" t="str">
            <v>Bojonegoro</v>
          </cell>
          <cell r="G1181" t="str">
            <v>3522241808900003</v>
          </cell>
          <cell r="H1181" t="str">
            <v>000000000000000</v>
          </cell>
          <cell r="J1181">
            <v>116544000</v>
          </cell>
          <cell r="K1181">
            <v>0</v>
          </cell>
          <cell r="L1181">
            <v>116544000</v>
          </cell>
        </row>
        <row r="1182">
          <cell r="B1182" t="str">
            <v>SAHA146AC</v>
          </cell>
          <cell r="C1182" t="str">
            <v>Sahala/Syaiful</v>
          </cell>
          <cell r="D1182" t="str">
            <v>Imam Mahdudin</v>
          </cell>
          <cell r="E1182" t="str">
            <v>Sumurcinde RT.004/RW.003 , Kel. Sumurcinde Kec. Soko</v>
          </cell>
          <cell r="F1182" t="str">
            <v>Tuban</v>
          </cell>
          <cell r="G1182" t="str">
            <v>3523112112920002</v>
          </cell>
          <cell r="H1182" t="str">
            <v>000000000000000</v>
          </cell>
          <cell r="J1182">
            <v>91584000</v>
          </cell>
          <cell r="K1182">
            <v>0</v>
          </cell>
          <cell r="L1182">
            <v>91584000</v>
          </cell>
        </row>
        <row r="1183">
          <cell r="B1183" t="str">
            <v>SAHA147AC</v>
          </cell>
          <cell r="C1183" t="str">
            <v>Sahala/Syaiful</v>
          </cell>
          <cell r="D1183" t="str">
            <v>Aminah Firthriyah</v>
          </cell>
          <cell r="E1183" t="str">
            <v>Kauman RT.003/RW.001 , Kel. Kauman Kec. Sidayu</v>
          </cell>
          <cell r="F1183" t="str">
            <v>Gresik</v>
          </cell>
          <cell r="G1183" t="str">
            <v>3525094702960003</v>
          </cell>
          <cell r="H1183" t="str">
            <v>000000000000000</v>
          </cell>
          <cell r="J1183">
            <v>100608000</v>
          </cell>
          <cell r="K1183">
            <v>0</v>
          </cell>
          <cell r="L1183">
            <v>100608000</v>
          </cell>
        </row>
        <row r="1184">
          <cell r="B1184" t="str">
            <v>SAHA148AC</v>
          </cell>
          <cell r="C1184" t="str">
            <v>Sahala/Syaiful</v>
          </cell>
          <cell r="D1184" t="str">
            <v>Reno Badini</v>
          </cell>
          <cell r="E1184" t="str">
            <v>KP Bundar RT.001/RW.003 , Kel. Bundar Kec. Cigudeg</v>
          </cell>
          <cell r="F1184" t="str">
            <v>Bogor</v>
          </cell>
          <cell r="G1184" t="str">
            <v>3201221904910001</v>
          </cell>
          <cell r="H1184" t="str">
            <v>000000000000000</v>
          </cell>
          <cell r="J1184">
            <v>124688000</v>
          </cell>
          <cell r="K1184">
            <v>0</v>
          </cell>
          <cell r="L1184">
            <v>124688000</v>
          </cell>
        </row>
        <row r="1185">
          <cell r="B1185" t="str">
            <v>SAHA149AC</v>
          </cell>
          <cell r="C1185" t="str">
            <v>Sahala/Syaiful</v>
          </cell>
          <cell r="D1185" t="str">
            <v>Adolf Riupassa</v>
          </cell>
          <cell r="E1185" t="str">
            <v>Passo RT.022/RW.005 , Kel. Baguala</v>
          </cell>
          <cell r="F1185" t="str">
            <v>Ambon</v>
          </cell>
          <cell r="G1185" t="str">
            <v>8106010506020006</v>
          </cell>
          <cell r="H1185" t="str">
            <v>000000000000000</v>
          </cell>
          <cell r="J1185">
            <v>114384000.00000003</v>
          </cell>
          <cell r="K1185">
            <v>0</v>
          </cell>
          <cell r="L1185">
            <v>114384000.00000003</v>
          </cell>
        </row>
        <row r="1186">
          <cell r="B1186" t="str">
            <v>SAHA150AC</v>
          </cell>
          <cell r="C1186" t="str">
            <v>Sahala/Syaiful</v>
          </cell>
          <cell r="D1186" t="str">
            <v>Binsar Fredy Renaldo S</v>
          </cell>
          <cell r="E1186" t="str">
            <v>KP Nagrog RT.001/RW.001 , Kel. Jayaratu Kec. Sariwangi</v>
          </cell>
          <cell r="F1186" t="str">
            <v>Tasikmalaya</v>
          </cell>
          <cell r="G1186" t="str">
            <v>3275040410960022</v>
          </cell>
          <cell r="H1186" t="str">
            <v>000000000000000</v>
          </cell>
          <cell r="J1186">
            <v>81216000</v>
          </cell>
          <cell r="K1186">
            <v>0</v>
          </cell>
          <cell r="L1186">
            <v>81216000</v>
          </cell>
        </row>
        <row r="1187">
          <cell r="B1187" t="str">
            <v>SAHA151AC</v>
          </cell>
          <cell r="C1187" t="str">
            <v>Sahala/Syaiful</v>
          </cell>
          <cell r="D1187" t="str">
            <v>Meriyanto</v>
          </cell>
          <cell r="E1187" t="str">
            <v>Karangklesem RT.006/RW.003 , Kel. Karangklesem Kec. Kutasari</v>
          </cell>
          <cell r="F1187" t="str">
            <v>Purbalingga</v>
          </cell>
          <cell r="G1187" t="str">
            <v>3303072105030001</v>
          </cell>
          <cell r="H1187" t="str">
            <v>000000000000000</v>
          </cell>
          <cell r="J1187">
            <v>90624000</v>
          </cell>
          <cell r="K1187">
            <v>0</v>
          </cell>
          <cell r="L1187">
            <v>90624000</v>
          </cell>
        </row>
        <row r="1188">
          <cell r="B1188" t="str">
            <v>SAHA152AC</v>
          </cell>
          <cell r="C1188" t="str">
            <v>Sahala/Syaiful</v>
          </cell>
          <cell r="D1188" t="str">
            <v>Mahendra Saputra</v>
          </cell>
          <cell r="E1188" t="str">
            <v>Jalan Ngoro Mojoagung RT.003/RW.002 , Kel. Selorejo Kec. Mojowarno</v>
          </cell>
          <cell r="F1188" t="str">
            <v>Jombang</v>
          </cell>
          <cell r="G1188" t="str">
            <v>3517071108730007</v>
          </cell>
          <cell r="H1188" t="str">
            <v>000000000000000</v>
          </cell>
          <cell r="J1188">
            <v>89676000.00000003</v>
          </cell>
          <cell r="K1188">
            <v>0</v>
          </cell>
          <cell r="L1188">
            <v>89676000.00000003</v>
          </cell>
        </row>
        <row r="1189">
          <cell r="B1189" t="str">
            <v>SAHA153AC</v>
          </cell>
          <cell r="C1189" t="str">
            <v>Sahala/Syaiful</v>
          </cell>
          <cell r="D1189" t="str">
            <v>Feisal Ardyansyah</v>
          </cell>
          <cell r="E1189" t="str">
            <v>Metro Parung Blok A3. No 42 RT.001/RW.007 , Kel. Waru Kec. Parung</v>
          </cell>
          <cell r="F1189" t="str">
            <v>Bogor</v>
          </cell>
          <cell r="G1189" t="str">
            <v>3275100311980009</v>
          </cell>
          <cell r="H1189" t="str">
            <v>000000000000000</v>
          </cell>
          <cell r="J1189">
            <v>90624000</v>
          </cell>
          <cell r="K1189">
            <v>0</v>
          </cell>
          <cell r="L1189">
            <v>90624000</v>
          </cell>
        </row>
        <row r="1190">
          <cell r="B1190" t="str">
            <v>SAHA154AC</v>
          </cell>
          <cell r="C1190" t="str">
            <v>Sahala/Syaiful</v>
          </cell>
          <cell r="D1190" t="str">
            <v>I Gede Ryanta Putra Ardana</v>
          </cell>
          <cell r="E1190" t="str">
            <v>Perum GKGA Blok-GE/14 RT.002/RW.003 , Kel. Kedanyang Kec. Kebomas</v>
          </cell>
          <cell r="F1190" t="str">
            <v>Gresik</v>
          </cell>
          <cell r="G1190" t="str">
            <v>3525141603960001</v>
          </cell>
          <cell r="H1190" t="str">
            <v>000000000000000</v>
          </cell>
          <cell r="J1190">
            <v>89856000</v>
          </cell>
          <cell r="K1190">
            <v>0</v>
          </cell>
          <cell r="L1190">
            <v>89856000</v>
          </cell>
        </row>
        <row r="1191">
          <cell r="B1191" t="str">
            <v>SAHA155AC</v>
          </cell>
          <cell r="C1191" t="str">
            <v>Sahala/Syaiful</v>
          </cell>
          <cell r="D1191" t="str">
            <v>M Ridhlotul Izza</v>
          </cell>
          <cell r="E1191" t="str">
            <v>Dusun Kedawung RT.001/RW.007 , Kel. Kedawung Kec. Nglegok</v>
          </cell>
          <cell r="F1191" t="str">
            <v>Blitar</v>
          </cell>
          <cell r="G1191" t="str">
            <v>3505092408000003</v>
          </cell>
          <cell r="H1191" t="str">
            <v>000000000000000</v>
          </cell>
          <cell r="J1191">
            <v>73368000</v>
          </cell>
          <cell r="K1191">
            <v>0</v>
          </cell>
          <cell r="L1191">
            <v>73368000</v>
          </cell>
        </row>
        <row r="1192">
          <cell r="B1192" t="str">
            <v>SAHA156AC</v>
          </cell>
          <cell r="C1192" t="str">
            <v>Sahala/Syaiful</v>
          </cell>
          <cell r="D1192" t="str">
            <v>Yudistira Adi Nugraha</v>
          </cell>
          <cell r="E1192" t="str">
            <v>Jalan Pasir X/4 RT.005/RW.005 , Kel. Pongangan Kec. Manyar</v>
          </cell>
          <cell r="F1192" t="str">
            <v>Gresik</v>
          </cell>
          <cell r="G1192" t="str">
            <v>3525100805960001</v>
          </cell>
          <cell r="H1192" t="str">
            <v>000000000000000</v>
          </cell>
          <cell r="J1192">
            <v>90624000</v>
          </cell>
          <cell r="K1192">
            <v>0</v>
          </cell>
          <cell r="L1192">
            <v>90624000</v>
          </cell>
        </row>
        <row r="1193">
          <cell r="B1193" t="str">
            <v>SAHA157AC</v>
          </cell>
          <cell r="C1193" t="str">
            <v>Sahala/Syaiful</v>
          </cell>
          <cell r="D1193" t="str">
            <v>Sun Erna Sartika Dewi</v>
          </cell>
          <cell r="E1193" t="str">
            <v xml:space="preserve">Sutorejo Selatan I/24 RT.004/RW.008 , Kel. Dukuh Sutorejo Kec. Mulyorejo </v>
          </cell>
          <cell r="F1193" t="str">
            <v>Surabaya</v>
          </cell>
          <cell r="G1193" t="str">
            <v>3578266810810001</v>
          </cell>
          <cell r="H1193" t="str">
            <v>000000000000000</v>
          </cell>
          <cell r="J1193">
            <v>86400000</v>
          </cell>
          <cell r="K1193">
            <v>0</v>
          </cell>
          <cell r="L1193">
            <v>86400000</v>
          </cell>
        </row>
        <row r="1194">
          <cell r="B1194" t="str">
            <v>SAHA159AC</v>
          </cell>
          <cell r="C1194" t="str">
            <v>Sahala/Syaiful</v>
          </cell>
          <cell r="D1194" t="str">
            <v>Darnuji</v>
          </cell>
          <cell r="E1194" t="str">
            <v>Dusun Bulung RT.001/RW.003 , Kel. Nguruan Kec. Soko</v>
          </cell>
          <cell r="F1194" t="str">
            <v>Tuban</v>
          </cell>
          <cell r="G1194" t="str">
            <v>3523110506680004</v>
          </cell>
          <cell r="H1194" t="str">
            <v>000000000000000</v>
          </cell>
          <cell r="J1194">
            <v>74280000</v>
          </cell>
          <cell r="K1194">
            <v>0</v>
          </cell>
          <cell r="L1194">
            <v>74280000</v>
          </cell>
        </row>
        <row r="1195">
          <cell r="B1195" t="str">
            <v>SAHA160AC</v>
          </cell>
          <cell r="C1195" t="str">
            <v>Sahala/Syaiful</v>
          </cell>
          <cell r="D1195" t="str">
            <v>Istiqomah</v>
          </cell>
          <cell r="E1195" t="str">
            <v>Dusun Bulung RT.001/RW.003 , Kel. Nguruan Kec. Soko</v>
          </cell>
          <cell r="F1195" t="str">
            <v>Tuban</v>
          </cell>
          <cell r="G1195" t="str">
            <v>3523115206950003</v>
          </cell>
          <cell r="H1195" t="str">
            <v>000000000000000</v>
          </cell>
          <cell r="J1195">
            <v>91584000</v>
          </cell>
          <cell r="K1195">
            <v>0</v>
          </cell>
          <cell r="L1195">
            <v>91584000</v>
          </cell>
        </row>
        <row r="1196">
          <cell r="B1196" t="str">
            <v>SAHA158AC</v>
          </cell>
          <cell r="C1196" t="str">
            <v>Sahala/Syaiful</v>
          </cell>
          <cell r="D1196" t="str">
            <v>M. Solikin</v>
          </cell>
          <cell r="E1196" t="str">
            <v>Dusun Balung RT.001/RW.003 , Kel. Nguruan Kec. Soko</v>
          </cell>
          <cell r="F1196" t="str">
            <v>Tuban</v>
          </cell>
          <cell r="G1196" t="str">
            <v>3523110903940005</v>
          </cell>
          <cell r="H1196" t="str">
            <v>000000000000000</v>
          </cell>
          <cell r="J1196">
            <v>73536000</v>
          </cell>
          <cell r="K1196">
            <v>0</v>
          </cell>
          <cell r="L1196">
            <v>73536000</v>
          </cell>
        </row>
        <row r="1197">
          <cell r="B1197" t="str">
            <v>SAHA161AC</v>
          </cell>
          <cell r="C1197" t="str">
            <v>Sahala/Syaiful</v>
          </cell>
          <cell r="D1197" t="str">
            <v>Lailatul Faris</v>
          </cell>
          <cell r="E1197" t="str">
            <v>Dusun Mawot RT.002/RW.002 , Kel. Sugijharjo Kec. Tuban</v>
          </cell>
          <cell r="F1197" t="str">
            <v>Tuban</v>
          </cell>
          <cell r="G1197" t="str">
            <v>3523165902990001</v>
          </cell>
          <cell r="H1197" t="str">
            <v>000000000000000</v>
          </cell>
          <cell r="J1197">
            <v>164240000</v>
          </cell>
          <cell r="K1197">
            <v>0</v>
          </cell>
          <cell r="L1197">
            <v>164240000</v>
          </cell>
        </row>
        <row r="1198">
          <cell r="B1198" t="str">
            <v>SAHA162AC</v>
          </cell>
          <cell r="C1198" t="str">
            <v>Sahala/Syaiful</v>
          </cell>
          <cell r="D1198" t="str">
            <v>Ervizal Khozinudin</v>
          </cell>
          <cell r="E1198" t="str">
            <v>Jalan Nangka RT.005/RW.001 , Kel. Perbon, Kec. Tuban</v>
          </cell>
          <cell r="F1198" t="str">
            <v>Tuban</v>
          </cell>
          <cell r="G1198" t="str">
            <v>3523181712940001</v>
          </cell>
          <cell r="H1198" t="str">
            <v>000000000000000</v>
          </cell>
          <cell r="J1198">
            <v>162168000</v>
          </cell>
          <cell r="K1198">
            <v>0</v>
          </cell>
          <cell r="L1198">
            <v>162168000</v>
          </cell>
        </row>
        <row r="1199">
          <cell r="B1199" t="str">
            <v>SAHA163AC</v>
          </cell>
          <cell r="C1199" t="str">
            <v>Sahala/Syaiful</v>
          </cell>
          <cell r="D1199" t="str">
            <v>Aji Bayu Prayogo</v>
          </cell>
          <cell r="E1199" t="str">
            <v>Dusun Warang RT.002/RW.002 , Kel. Sumurcinde Kec. Soko</v>
          </cell>
          <cell r="F1199" t="str">
            <v>Tuban</v>
          </cell>
          <cell r="G1199" t="str">
            <v>3523110607990004</v>
          </cell>
          <cell r="H1199" t="str">
            <v>000000000000000</v>
          </cell>
          <cell r="J1199">
            <v>182120000</v>
          </cell>
          <cell r="K1199">
            <v>0</v>
          </cell>
          <cell r="L1199">
            <v>182120000</v>
          </cell>
        </row>
        <row r="1200">
          <cell r="B1200" t="str">
            <v>SAHA164AC</v>
          </cell>
          <cell r="C1200" t="str">
            <v>Sahala/Syaiful</v>
          </cell>
          <cell r="D1200" t="str">
            <v>Sendy Wapan Aprilianto</v>
          </cell>
          <cell r="E1200" t="str">
            <v>Dusun Tanggungan RT.001/RW.001 , Kel. Plumpang Kec. Plumpang</v>
          </cell>
          <cell r="F1200" t="str">
            <v>Tuban</v>
          </cell>
          <cell r="G1200" t="str">
            <v>3523172804950003</v>
          </cell>
          <cell r="H1200" t="str">
            <v>000000000000000</v>
          </cell>
          <cell r="J1200">
            <v>162160000</v>
          </cell>
          <cell r="K1200">
            <v>0</v>
          </cell>
          <cell r="L1200">
            <v>162160000</v>
          </cell>
        </row>
        <row r="1201">
          <cell r="B1201" t="str">
            <v>SAHA165AC</v>
          </cell>
          <cell r="C1201" t="str">
            <v>Sahala/Syaiful</v>
          </cell>
          <cell r="D1201" t="str">
            <v>Mely Wulandari</v>
          </cell>
          <cell r="E1201" t="str">
            <v>Latsari GG IV RT.005/RW.004 , Kel. Latsari Kec. Tuban</v>
          </cell>
          <cell r="F1201" t="str">
            <v>Tuban</v>
          </cell>
          <cell r="G1201" t="str">
            <v>3523135608840003</v>
          </cell>
          <cell r="H1201" t="str">
            <v>000000000000000</v>
          </cell>
          <cell r="J1201">
            <v>181784000</v>
          </cell>
          <cell r="K1201">
            <v>0</v>
          </cell>
          <cell r="L1201">
            <v>181784000</v>
          </cell>
        </row>
        <row r="1202">
          <cell r="B1202" t="str">
            <v>SAHA166AC</v>
          </cell>
          <cell r="C1202" t="str">
            <v>Sahala/Syaiful</v>
          </cell>
          <cell r="D1202" t="str">
            <v>Unika Jantri Rahayu</v>
          </cell>
          <cell r="E1202" t="str">
            <v>Dusun Kedungsari RT.004/RW.005 , Kel.Tuwiri Wetan Kec. Merakurak</v>
          </cell>
          <cell r="F1202" t="str">
            <v>Tuban</v>
          </cell>
          <cell r="G1202" t="str">
            <v>3523134101000007</v>
          </cell>
          <cell r="H1202" t="str">
            <v>000000000000000</v>
          </cell>
          <cell r="J1202">
            <v>187928000</v>
          </cell>
          <cell r="K1202">
            <v>0</v>
          </cell>
          <cell r="L1202">
            <v>187928000</v>
          </cell>
        </row>
        <row r="1203">
          <cell r="B1203" t="str">
            <v>SAHA167AC</v>
          </cell>
          <cell r="C1203" t="str">
            <v>Sahala/Syaiful</v>
          </cell>
          <cell r="D1203" t="str">
            <v>Herlina Endah Wulandari</v>
          </cell>
          <cell r="E1203" t="str">
            <v>Jalan Lukman Hakim N RT.001/RW.004 , Kel. Doromukti Kec. Tuban</v>
          </cell>
          <cell r="F1203" t="str">
            <v>Tuban</v>
          </cell>
          <cell r="G1203" t="str">
            <v>3523164405730004</v>
          </cell>
          <cell r="H1203" t="str">
            <v>000000000000000</v>
          </cell>
          <cell r="J1203">
            <v>158352000</v>
          </cell>
          <cell r="K1203">
            <v>0</v>
          </cell>
          <cell r="L1203">
            <v>158352000</v>
          </cell>
        </row>
        <row r="1204">
          <cell r="B1204" t="str">
            <v>SAHA168AC</v>
          </cell>
          <cell r="C1204" t="str">
            <v>Sahala/Syaiful</v>
          </cell>
          <cell r="D1204" t="str">
            <v>Muhammad Joko Sampurno</v>
          </cell>
          <cell r="E1204" t="str">
            <v>Dusun Juwiri RT.005/RW.003 , Kel. Tuwiriwetan Kec. Merakurak</v>
          </cell>
          <cell r="F1204" t="str">
            <v>Tuban</v>
          </cell>
          <cell r="G1204" t="str">
            <v>3523130105010001</v>
          </cell>
          <cell r="H1204" t="str">
            <v>000000000000000</v>
          </cell>
          <cell r="J1204">
            <v>162616000</v>
          </cell>
          <cell r="K1204">
            <v>0</v>
          </cell>
          <cell r="L1204">
            <v>162616000</v>
          </cell>
        </row>
        <row r="1205">
          <cell r="B1205" t="str">
            <v>SAHA169AC</v>
          </cell>
          <cell r="C1205" t="str">
            <v>Sahala/Syaiful</v>
          </cell>
          <cell r="D1205" t="str">
            <v>Anta Maulana</v>
          </cell>
          <cell r="E1205" t="str">
            <v>Dusun Plumpang RT.003/RW.008 , Kel. Plumpang Kec. Plumpang</v>
          </cell>
          <cell r="F1205" t="str">
            <v>Tuban</v>
          </cell>
          <cell r="G1205" t="str">
            <v>3523170603920002</v>
          </cell>
          <cell r="H1205" t="str">
            <v>000000000000000</v>
          </cell>
          <cell r="J1205">
            <v>182504000</v>
          </cell>
          <cell r="K1205">
            <v>0</v>
          </cell>
          <cell r="L1205">
            <v>182504000</v>
          </cell>
        </row>
        <row r="1206">
          <cell r="B1206" t="str">
            <v>SAHA170AC</v>
          </cell>
          <cell r="C1206" t="str">
            <v>Sahala/Syaiful</v>
          </cell>
          <cell r="D1206" t="str">
            <v>Adi Prayogo</v>
          </cell>
          <cell r="E1206" t="str">
            <v>Krocok RT.006/RW002 , Kel. Kocok Kec. Jrapah</v>
          </cell>
          <cell r="F1206" t="str">
            <v>Blora</v>
          </cell>
          <cell r="G1206" t="str">
            <v>3316161809020002</v>
          </cell>
          <cell r="H1206" t="str">
            <v>000000000000000</v>
          </cell>
          <cell r="J1206">
            <v>159144000</v>
          </cell>
          <cell r="K1206">
            <v>0</v>
          </cell>
          <cell r="L1206">
            <v>159144000</v>
          </cell>
        </row>
        <row r="1207">
          <cell r="B1207" t="str">
            <v>SAHA171AC</v>
          </cell>
          <cell r="C1207" t="str">
            <v>Sahala/Syaiful</v>
          </cell>
          <cell r="D1207" t="str">
            <v>Devi Nur Sifa</v>
          </cell>
          <cell r="E1207" t="str">
            <v>Dusun Wonosari RT.004/RW.002 , Kel. Wonodari Kec. Senori</v>
          </cell>
          <cell r="F1207" t="str">
            <v>Tuban</v>
          </cell>
          <cell r="G1207" t="str">
            <v>3523056312050003</v>
          </cell>
          <cell r="H1207" t="str">
            <v>000000000000000</v>
          </cell>
          <cell r="J1207">
            <v>170824000</v>
          </cell>
          <cell r="K1207">
            <v>0</v>
          </cell>
          <cell r="L1207">
            <v>170824000</v>
          </cell>
        </row>
        <row r="1208">
          <cell r="B1208" t="str">
            <v>SAHA172AC</v>
          </cell>
          <cell r="C1208" t="str">
            <v>Sahala/Syaiful</v>
          </cell>
          <cell r="D1208" t="str">
            <v>Aix Surip</v>
          </cell>
          <cell r="E1208" t="str">
            <v>Ahsana Elite Residence Blok C No. 86 RT.001/RW.005 , Kel. Perbon Kec. Tuban</v>
          </cell>
          <cell r="F1208" t="str">
            <v>Tuban</v>
          </cell>
          <cell r="G1208" t="str">
            <v>3523182508830001</v>
          </cell>
          <cell r="H1208" t="str">
            <v>000000000000000</v>
          </cell>
          <cell r="J1208">
            <v>153368000</v>
          </cell>
          <cell r="K1208">
            <v>0</v>
          </cell>
          <cell r="L1208">
            <v>153368000</v>
          </cell>
        </row>
        <row r="1209">
          <cell r="B1209" t="str">
            <v>SAHA173AC</v>
          </cell>
          <cell r="C1209" t="str">
            <v>Sahala/Syaiful</v>
          </cell>
          <cell r="D1209" t="str">
            <v>Ida Khoirin Nisak</v>
          </cell>
          <cell r="E1209" t="str">
            <v>Dusun Mondokan RT.001/RW.004 , Kel. Mondokan Kec. Tuban</v>
          </cell>
          <cell r="F1209" t="str">
            <v>Tuban</v>
          </cell>
          <cell r="G1209" t="str">
            <v>3523164305000001</v>
          </cell>
          <cell r="H1209" t="str">
            <v>000000000000000</v>
          </cell>
          <cell r="J1209">
            <v>181320000</v>
          </cell>
          <cell r="K1209">
            <v>0</v>
          </cell>
          <cell r="L1209">
            <v>181320000</v>
          </cell>
        </row>
        <row r="1210">
          <cell r="B1210" t="str">
            <v>SAHA174AC</v>
          </cell>
          <cell r="C1210" t="str">
            <v>Sahala/Syaiful</v>
          </cell>
          <cell r="D1210" t="str">
            <v>Fatkul Nasir</v>
          </cell>
          <cell r="E1210" t="str">
            <v>Dusun Krajan RT.003/RW.002 , Kel. Sumber Kec. Merakurak</v>
          </cell>
          <cell r="F1210" t="str">
            <v>Tuban</v>
          </cell>
          <cell r="G1210" t="str">
            <v>3523131805980002</v>
          </cell>
          <cell r="H1210" t="str">
            <v>000000000000000</v>
          </cell>
          <cell r="J1210">
            <v>101888000</v>
          </cell>
          <cell r="K1210">
            <v>0</v>
          </cell>
          <cell r="L1210">
            <v>101888000</v>
          </cell>
        </row>
        <row r="1211">
          <cell r="B1211" t="str">
            <v>SAHA176AC</v>
          </cell>
          <cell r="C1211" t="str">
            <v>Sahala/Syaiful</v>
          </cell>
          <cell r="D1211" t="str">
            <v>Habib Prasetyo</v>
          </cell>
          <cell r="E1211" t="str">
            <v>Dusun Kradenan RT.001/RW.002 , Kel. Kradenan Kec. Palang</v>
          </cell>
          <cell r="F1211" t="str">
            <v>Tuban</v>
          </cell>
          <cell r="G1211" t="str">
            <v>3523180107990054</v>
          </cell>
          <cell r="H1211" t="str">
            <v>000000000000000</v>
          </cell>
          <cell r="J1211">
            <v>190504000</v>
          </cell>
          <cell r="K1211">
            <v>0</v>
          </cell>
          <cell r="L1211">
            <v>190504000</v>
          </cell>
        </row>
        <row r="1212">
          <cell r="B1212" t="str">
            <v>SAHA177AC</v>
          </cell>
          <cell r="C1212" t="str">
            <v>Sahala/Syaiful</v>
          </cell>
          <cell r="D1212" t="str">
            <v>M. Ali Wahyudi</v>
          </cell>
          <cell r="E1212" t="str">
            <v>Dusun Tegal Mambung RT.003/RW.004 , Kel. Dawung Kec. Palang</v>
          </cell>
          <cell r="F1212" t="str">
            <v>Tuban</v>
          </cell>
          <cell r="G1212" t="str">
            <v>3523182005980005</v>
          </cell>
          <cell r="H1212" t="str">
            <v>000000000000000</v>
          </cell>
          <cell r="J1212">
            <v>190504000</v>
          </cell>
          <cell r="K1212">
            <v>0</v>
          </cell>
          <cell r="L1212">
            <v>190504000</v>
          </cell>
        </row>
        <row r="1213">
          <cell r="B1213" t="str">
            <v>SAHA178AC</v>
          </cell>
          <cell r="C1213" t="str">
            <v>Sahala/Syaiful</v>
          </cell>
          <cell r="D1213" t="str">
            <v>Eva Fitriyana</v>
          </cell>
          <cell r="E1213" t="str">
            <v>Sendangharjo GG V No. 3 RT.001/RW.002 , Kel. Sedangharjo Kel. Tuban</v>
          </cell>
          <cell r="F1213" t="str">
            <v>Tuban</v>
          </cell>
          <cell r="G1213" t="str">
            <v>3523165703920006</v>
          </cell>
          <cell r="H1213" t="str">
            <v>000000000000000</v>
          </cell>
          <cell r="J1213">
            <v>157224000</v>
          </cell>
          <cell r="K1213">
            <v>0</v>
          </cell>
          <cell r="L1213">
            <v>157224000</v>
          </cell>
        </row>
        <row r="1214">
          <cell r="B1214" t="str">
            <v>SAHA179AC</v>
          </cell>
          <cell r="C1214" t="str">
            <v>Sahala/Syaiful</v>
          </cell>
          <cell r="D1214" t="str">
            <v>Agus Gatot Saputro</v>
          </cell>
          <cell r="E1214" t="str">
            <v>Dusun Karangagung Timur RT.013/RW.003 , Kel. Karangagung Kec. Palang</v>
          </cell>
          <cell r="F1214" t="str">
            <v>Tuban</v>
          </cell>
          <cell r="G1214" t="str">
            <v>3523183008830001</v>
          </cell>
          <cell r="H1214" t="str">
            <v>000000000000000</v>
          </cell>
          <cell r="J1214">
            <v>159320000</v>
          </cell>
          <cell r="K1214">
            <v>0</v>
          </cell>
          <cell r="L1214">
            <v>159320000</v>
          </cell>
        </row>
        <row r="1215">
          <cell r="B1215" t="str">
            <v>SAHA181AC</v>
          </cell>
          <cell r="C1215" t="str">
            <v>Sahala/Syaiful</v>
          </cell>
          <cell r="D1215" t="str">
            <v>Fidda Novita Sari</v>
          </cell>
          <cell r="E1215" t="str">
            <v>Latsari II Sejahtera No. 4 RT.006/RW.004 , Kel. Latsari Kec. Tuban</v>
          </cell>
          <cell r="F1215" t="str">
            <v>Tuban</v>
          </cell>
          <cell r="G1215" t="str">
            <v>3524165605870001</v>
          </cell>
          <cell r="H1215" t="str">
            <v>000000000000000</v>
          </cell>
          <cell r="J1215">
            <v>173472000</v>
          </cell>
          <cell r="K1215">
            <v>0</v>
          </cell>
          <cell r="L1215">
            <v>173472000</v>
          </cell>
        </row>
        <row r="1216">
          <cell r="B1216" t="str">
            <v>SAHA182AC</v>
          </cell>
          <cell r="C1216" t="str">
            <v>Sahala/Syaiful</v>
          </cell>
          <cell r="D1216" t="str">
            <v>Tasrifan</v>
          </cell>
          <cell r="E1216" t="str">
            <v>Ds Kaliuntu RT.001/RW.002 , Kel. Kaliuntu Kec. Jenu</v>
          </cell>
          <cell r="F1216" t="str">
            <v>Tuban</v>
          </cell>
          <cell r="G1216" t="str">
            <v>3523121409760001</v>
          </cell>
          <cell r="H1216" t="str">
            <v>000000000000000</v>
          </cell>
          <cell r="J1216">
            <v>158440000</v>
          </cell>
          <cell r="K1216">
            <v>0</v>
          </cell>
          <cell r="L1216">
            <v>158440000</v>
          </cell>
        </row>
        <row r="1217">
          <cell r="B1217" t="str">
            <v>SAHA183AC</v>
          </cell>
          <cell r="C1217" t="str">
            <v>Sahala/Syaiful</v>
          </cell>
          <cell r="D1217" t="str">
            <v>Sindi Sanggita Pradana</v>
          </cell>
          <cell r="E1217" t="str">
            <v>GG Anggrek No. 180 RT.001/RW.002 , Kel. Doromukti Kec. Tuban</v>
          </cell>
          <cell r="F1217" t="str">
            <v>Tuban</v>
          </cell>
          <cell r="G1217" t="str">
            <v>3505035906000001</v>
          </cell>
          <cell r="H1217" t="str">
            <v>000000000000000</v>
          </cell>
          <cell r="J1217">
            <v>165160000</v>
          </cell>
          <cell r="K1217">
            <v>0</v>
          </cell>
          <cell r="L1217">
            <v>165160000</v>
          </cell>
        </row>
        <row r="1218">
          <cell r="B1218" t="str">
            <v>SAHA184AC</v>
          </cell>
          <cell r="C1218" t="str">
            <v>Sahala/Syaiful</v>
          </cell>
          <cell r="D1218" t="str">
            <v>Hafrida Tri Rahayu</v>
          </cell>
          <cell r="E1218" t="str">
            <v>Lingk Jarkali RT.004/RW.002 , Kel. Gedongombo Kec. Semanding</v>
          </cell>
          <cell r="F1218" t="str">
            <v>Tuban</v>
          </cell>
          <cell r="G1218" t="str">
            <v>3523155201070001</v>
          </cell>
          <cell r="H1218" t="str">
            <v>000000000000000</v>
          </cell>
          <cell r="J1218">
            <v>186448000</v>
          </cell>
          <cell r="K1218">
            <v>0</v>
          </cell>
          <cell r="L1218">
            <v>186448000</v>
          </cell>
        </row>
        <row r="1219">
          <cell r="B1219" t="str">
            <v>SAHA185AC</v>
          </cell>
          <cell r="C1219" t="str">
            <v>Sahala/Syaiful</v>
          </cell>
          <cell r="D1219" t="str">
            <v>Devi Nur Halimah</v>
          </cell>
          <cell r="E1219" t="str">
            <v>Dusun Dikir RT.006/RW.002 , Kel. Dikir Kec. Tambakboyo</v>
          </cell>
          <cell r="F1219" t="str">
            <v>Tuban</v>
          </cell>
          <cell r="G1219" t="str">
            <v>3523066088040002</v>
          </cell>
          <cell r="H1219" t="str">
            <v>000000000000000</v>
          </cell>
          <cell r="J1219">
            <v>180520000</v>
          </cell>
          <cell r="K1219">
            <v>0</v>
          </cell>
          <cell r="L1219">
            <v>180520000</v>
          </cell>
        </row>
        <row r="1220">
          <cell r="B1220" t="str">
            <v>SAHA186AC</v>
          </cell>
          <cell r="C1220" t="str">
            <v>Sahala/Syaiful</v>
          </cell>
          <cell r="D1220" t="str">
            <v>Ali Mudhofar</v>
          </cell>
          <cell r="E1220" t="str">
            <v>Dusun Jambean RT.006/RW.002 , Kel. Kedungjambe Kec. Singgahan</v>
          </cell>
          <cell r="F1220" t="str">
            <v>Tuban</v>
          </cell>
          <cell r="G1220" t="str">
            <v>3523070812840001</v>
          </cell>
          <cell r="H1220" t="str">
            <v>000000000000000</v>
          </cell>
          <cell r="J1220">
            <v>154800000</v>
          </cell>
          <cell r="K1220">
            <v>0</v>
          </cell>
          <cell r="L1220">
            <v>154800000</v>
          </cell>
        </row>
        <row r="1221">
          <cell r="B1221" t="str">
            <v>SAHA187AC</v>
          </cell>
          <cell r="C1221" t="str">
            <v>Sahala/Syaiful</v>
          </cell>
          <cell r="D1221" t="str">
            <v xml:space="preserve">Kukuh Prassetya </v>
          </cell>
          <cell r="E1221" t="str">
            <v>Sadang RT.001/RW.008 , Kel. Sadang Kec. Jatirogo</v>
          </cell>
          <cell r="F1221" t="str">
            <v>Tuban</v>
          </cell>
          <cell r="G1221" t="str">
            <v>3523021506990001</v>
          </cell>
          <cell r="H1221" t="str">
            <v>000000000000000</v>
          </cell>
          <cell r="J1221">
            <v>172536000</v>
          </cell>
          <cell r="K1221">
            <v>0</v>
          </cell>
          <cell r="L1221">
            <v>172536000</v>
          </cell>
        </row>
        <row r="1222">
          <cell r="B1222" t="str">
            <v>SAHA188AC</v>
          </cell>
          <cell r="C1222" t="str">
            <v>Sahala/Syaiful</v>
          </cell>
          <cell r="D1222" t="str">
            <v>Fatkul Nasir</v>
          </cell>
          <cell r="E1222" t="str">
            <v>Dusun Krajan RT.003/RW.002 , Kel. Sumber Kec. Merakurak</v>
          </cell>
          <cell r="F1222" t="str">
            <v>Tuban</v>
          </cell>
          <cell r="G1222" t="str">
            <v>3523131805980002</v>
          </cell>
          <cell r="H1222" t="str">
            <v>000000000000000</v>
          </cell>
          <cell r="I1222" t="str">
            <v>sama dgn kode SAHA174AC (jgn dipakai)</v>
          </cell>
          <cell r="J1222">
            <v>76312000</v>
          </cell>
          <cell r="K1222">
            <v>0</v>
          </cell>
          <cell r="L1222">
            <v>76312000</v>
          </cell>
        </row>
        <row r="1223">
          <cell r="B1223" t="str">
            <v>SAHA189AC</v>
          </cell>
          <cell r="C1223" t="str">
            <v>Sahala/Syaiful</v>
          </cell>
          <cell r="D1223" t="str">
            <v>Widya Dwi Ratna</v>
          </cell>
          <cell r="E1223" t="str">
            <v>Jalan Pahlawan No. 13 RT.001/RW.006 , Kel. Kebonsari Kec. Tuban</v>
          </cell>
          <cell r="F1223" t="str">
            <v>Tuban</v>
          </cell>
          <cell r="G1223" t="str">
            <v>3523167112950002</v>
          </cell>
          <cell r="H1223" t="str">
            <v>000000000000000</v>
          </cell>
          <cell r="J1223">
            <v>169600000</v>
          </cell>
          <cell r="K1223">
            <v>0</v>
          </cell>
          <cell r="L1223">
            <v>169600000</v>
          </cell>
        </row>
        <row r="1224">
          <cell r="B1224" t="str">
            <v>SAHA190AC</v>
          </cell>
          <cell r="C1224" t="str">
            <v>Sahala/Syaiful</v>
          </cell>
          <cell r="D1224" t="str">
            <v>Muhammad Nuril Huda</v>
          </cell>
          <cell r="E1224" t="str">
            <v>Dusun Cangkring RT.005/RW.001 , Kel. Cangkring Kec. Plumpang</v>
          </cell>
          <cell r="F1224" t="str">
            <v>Tuban</v>
          </cell>
          <cell r="G1224" t="str">
            <v>3523170910030001</v>
          </cell>
          <cell r="H1224" t="str">
            <v>000000000000000</v>
          </cell>
          <cell r="J1224">
            <v>176344000</v>
          </cell>
          <cell r="K1224">
            <v>0</v>
          </cell>
          <cell r="L1224">
            <v>176344000</v>
          </cell>
        </row>
        <row r="1225">
          <cell r="B1225" t="str">
            <v>SAHA191AC</v>
          </cell>
          <cell r="C1225" t="str">
            <v>Sahala/Syaiful</v>
          </cell>
          <cell r="D1225" t="str">
            <v>David Andiyanto</v>
          </cell>
          <cell r="E1225" t="str">
            <v>Jalan Gayam VI No. 11 RT.004/RW.003 , Kel. Tasikmadu Kec. Gayang</v>
          </cell>
          <cell r="F1225" t="str">
            <v>Tuban</v>
          </cell>
          <cell r="G1225" t="str">
            <v>3523142909760004</v>
          </cell>
          <cell r="H1225" t="str">
            <v>000000000000000</v>
          </cell>
          <cell r="J1225">
            <v>157224000</v>
          </cell>
          <cell r="K1225">
            <v>0</v>
          </cell>
          <cell r="L1225">
            <v>157224000</v>
          </cell>
        </row>
        <row r="1226">
          <cell r="B1226" t="str">
            <v>SAHA192AC</v>
          </cell>
          <cell r="C1226" t="str">
            <v>Sahala/Syaiful</v>
          </cell>
          <cell r="D1226" t="str">
            <v>Lili Aulia Rahman</v>
          </cell>
          <cell r="E1226" t="str">
            <v>GG Sedap Malam 629 RT.003/RW.004 , Kel. Doromukti Kec. Tuban</v>
          </cell>
          <cell r="F1226" t="str">
            <v>Tuban</v>
          </cell>
          <cell r="G1226" t="str">
            <v>3523161508880003</v>
          </cell>
          <cell r="H1226" t="str">
            <v>000000000000000</v>
          </cell>
          <cell r="J1226">
            <v>166696000</v>
          </cell>
          <cell r="K1226">
            <v>0</v>
          </cell>
          <cell r="L1226">
            <v>166696000</v>
          </cell>
        </row>
        <row r="1227">
          <cell r="B1227" t="str">
            <v>SAHA193AC</v>
          </cell>
          <cell r="C1227" t="str">
            <v>Sahala/Syaiful</v>
          </cell>
          <cell r="D1227" t="str">
            <v>Fira Firamazuna</v>
          </cell>
          <cell r="E1227" t="str">
            <v>Jalan Cendana Raya No. 07 RT.008/RW.003 , Kel. Tasik Madu Kec. Palang</v>
          </cell>
          <cell r="F1227" t="str">
            <v>Tuban</v>
          </cell>
          <cell r="G1227" t="str">
            <v>3523145511790001</v>
          </cell>
          <cell r="H1227" t="str">
            <v>000000000000000</v>
          </cell>
          <cell r="J1227">
            <v>187216000</v>
          </cell>
          <cell r="K1227">
            <v>0</v>
          </cell>
          <cell r="L1227">
            <v>187216000</v>
          </cell>
        </row>
        <row r="1228">
          <cell r="B1228" t="str">
            <v>SAHA194AC</v>
          </cell>
          <cell r="C1228" t="str">
            <v>Sahala/Syaiful</v>
          </cell>
          <cell r="D1228" t="str">
            <v>Sucarwin</v>
          </cell>
          <cell r="E1228" t="str">
            <v>Lingk. Wedengan RT.005/RW.002 , Kel. Gedongombo Kec. Semanding</v>
          </cell>
          <cell r="F1228" t="str">
            <v>Tuban</v>
          </cell>
          <cell r="G1228" t="str">
            <v>3523155504760004</v>
          </cell>
          <cell r="H1228" t="str">
            <v>000000000000000</v>
          </cell>
          <cell r="J1228">
            <v>194856000</v>
          </cell>
          <cell r="K1228">
            <v>0</v>
          </cell>
          <cell r="L1228">
            <v>194856000</v>
          </cell>
        </row>
        <row r="1229">
          <cell r="B1229" t="str">
            <v>SAHA195AC</v>
          </cell>
          <cell r="C1229" t="str">
            <v>Sahala/Syaiful</v>
          </cell>
          <cell r="D1229" t="str">
            <v>Maulida Izzati Kharimah</v>
          </cell>
          <cell r="E1229" t="str">
            <v>Dusun Krajan RT.002/RW.002 , Kel. Bejangung Kec. Semanding</v>
          </cell>
          <cell r="F1229" t="str">
            <v>Tuban</v>
          </cell>
          <cell r="G1229" t="str">
            <v>3524256506030001</v>
          </cell>
          <cell r="H1229" t="str">
            <v>000000000000000</v>
          </cell>
          <cell r="J1229">
            <v>170848000</v>
          </cell>
          <cell r="K1229">
            <v>0</v>
          </cell>
          <cell r="L1229">
            <v>170848000</v>
          </cell>
        </row>
        <row r="1230">
          <cell r="B1230" t="str">
            <v>SAHA196AC</v>
          </cell>
          <cell r="C1230" t="str">
            <v>Sahala/Syaiful</v>
          </cell>
          <cell r="D1230" t="str">
            <v>Sumning</v>
          </cell>
          <cell r="E1230" t="str">
            <v>Dusun Ngimbang RT.001/RW.007 , Kel. Ngimbang Kec. Palang</v>
          </cell>
          <cell r="F1230" t="str">
            <v>Tuban</v>
          </cell>
          <cell r="G1230" t="str">
            <v>3523185807640002</v>
          </cell>
          <cell r="H1230" t="str">
            <v>000000000000000</v>
          </cell>
          <cell r="J1230">
            <v>154632000</v>
          </cell>
          <cell r="K1230">
            <v>0</v>
          </cell>
          <cell r="L1230">
            <v>154632000</v>
          </cell>
        </row>
        <row r="1231">
          <cell r="B1231" t="str">
            <v>SAHA197AC</v>
          </cell>
          <cell r="C1231" t="str">
            <v>Sahala/Syaiful</v>
          </cell>
          <cell r="D1231" t="str">
            <v>Yuni Lestari</v>
          </cell>
          <cell r="E1231" t="str">
            <v>Dusun Bangsri RT.006/RW.006 , Kel. Ngujuran Kec. Bancar</v>
          </cell>
          <cell r="F1231" t="str">
            <v>Tuban</v>
          </cell>
          <cell r="G1231" t="str">
            <v>3523045107980005</v>
          </cell>
          <cell r="H1231" t="str">
            <v>000000000000000</v>
          </cell>
          <cell r="J1231">
            <v>194744000</v>
          </cell>
          <cell r="K1231">
            <v>0</v>
          </cell>
          <cell r="L1231">
            <v>194744000</v>
          </cell>
        </row>
        <row r="1232">
          <cell r="B1232" t="str">
            <v>SAHA198AC</v>
          </cell>
          <cell r="C1232" t="str">
            <v>Sahala/Syaiful</v>
          </cell>
          <cell r="D1232" t="str">
            <v>Noviana</v>
          </cell>
          <cell r="E1232" t="str">
            <v>Kelapa Gading VI/7 Perumnas Tasikmadu RT.001/RW.003 , Kel. Tasik Madu Kec. Palang</v>
          </cell>
          <cell r="F1232" t="str">
            <v>Tuban</v>
          </cell>
          <cell r="G1232" t="str">
            <v>3523167110940001</v>
          </cell>
          <cell r="H1232" t="str">
            <v>000000000000000</v>
          </cell>
          <cell r="J1232">
            <v>156760000</v>
          </cell>
          <cell r="K1232">
            <v>0</v>
          </cell>
          <cell r="L1232">
            <v>156760000</v>
          </cell>
        </row>
        <row r="1233">
          <cell r="B1233" t="str">
            <v>SAHA199AC</v>
          </cell>
          <cell r="C1233" t="str">
            <v>Sahala/Syaiful</v>
          </cell>
          <cell r="D1233" t="str">
            <v>Ahmad Fathkul Mubin</v>
          </cell>
          <cell r="E1233" t="str">
            <v>Dusun Ngemplak RT.004/RW.004 , Kel. Bejagung Kec. Semanding</v>
          </cell>
          <cell r="F1233" t="str">
            <v>Tuban</v>
          </cell>
          <cell r="G1233" t="str">
            <v>3523052106850003</v>
          </cell>
          <cell r="H1233" t="str">
            <v>000000000000000</v>
          </cell>
          <cell r="J1233">
            <v>157216000</v>
          </cell>
          <cell r="K1233">
            <v>0</v>
          </cell>
          <cell r="L1233">
            <v>157216000</v>
          </cell>
        </row>
        <row r="1234">
          <cell r="B1234" t="str">
            <v>SAHA200AC</v>
          </cell>
          <cell r="C1234" t="str">
            <v>Sahala/Syaiful</v>
          </cell>
          <cell r="D1234" t="str">
            <v>Arif Fakhrudin</v>
          </cell>
          <cell r="E1234" t="str">
            <v>Sendangharjo GG.II/8 RT.001/RW.005 , Kel. Sendangharjo Kel. Tuban</v>
          </cell>
          <cell r="F1234" t="str">
            <v>Tuban</v>
          </cell>
          <cell r="G1234" t="str">
            <v>3523161911930002</v>
          </cell>
          <cell r="H1234" t="str">
            <v>000000000000000</v>
          </cell>
          <cell r="J1234">
            <v>170832000</v>
          </cell>
          <cell r="K1234">
            <v>0</v>
          </cell>
          <cell r="L1234">
            <v>170832000</v>
          </cell>
        </row>
        <row r="1235">
          <cell r="B1235" t="str">
            <v>SAHA201AC</v>
          </cell>
          <cell r="C1235" t="str">
            <v>Sahala/Syaiful</v>
          </cell>
          <cell r="D1235" t="str">
            <v>Sucipto</v>
          </cell>
          <cell r="E1235" t="str">
            <v>Jalan Panglima Sudirman RT.003/RW.004 , Kel. Sukolilo Kec. Tuban</v>
          </cell>
          <cell r="F1235" t="str">
            <v>Tuban</v>
          </cell>
          <cell r="G1235" t="str">
            <v>3523161301710001</v>
          </cell>
          <cell r="H1235" t="str">
            <v>000000000000000</v>
          </cell>
          <cell r="J1235">
            <v>179000000</v>
          </cell>
          <cell r="K1235">
            <v>0</v>
          </cell>
          <cell r="L1235">
            <v>179000000</v>
          </cell>
        </row>
        <row r="1236">
          <cell r="B1236" t="str">
            <v>SAHA202AC</v>
          </cell>
          <cell r="C1236" t="str">
            <v>Sahala/Syaiful</v>
          </cell>
          <cell r="D1236" t="str">
            <v>Rita Istiana</v>
          </cell>
          <cell r="E1236" t="str">
            <v>Jalan Langsep 4 RT.003/RW.005 , Kel. Latsari Kec. Tuban</v>
          </cell>
          <cell r="F1236" t="str">
            <v>Tuban</v>
          </cell>
          <cell r="G1236" t="str">
            <v>3523165805630002</v>
          </cell>
          <cell r="H1236" t="str">
            <v>000000000000000</v>
          </cell>
          <cell r="J1236">
            <v>191784000</v>
          </cell>
          <cell r="K1236">
            <v>0</v>
          </cell>
          <cell r="L1236">
            <v>191784000</v>
          </cell>
        </row>
        <row r="1237">
          <cell r="B1237" t="str">
            <v>SAHA203AC</v>
          </cell>
          <cell r="C1237" t="str">
            <v>Sahala/Syaiful</v>
          </cell>
          <cell r="D1237" t="str">
            <v>Betty Zirra Feby Zona</v>
          </cell>
          <cell r="E1237" t="str">
            <v>Mondokan RT.001/RW.004 , Kel. Mondokan Kec. Tuban</v>
          </cell>
          <cell r="F1237" t="str">
            <v>Tuban</v>
          </cell>
          <cell r="G1237" t="str">
            <v>3523166202040001</v>
          </cell>
          <cell r="H1237" t="str">
            <v>000000000000000</v>
          </cell>
          <cell r="J1237">
            <v>188040000</v>
          </cell>
          <cell r="K1237">
            <v>0</v>
          </cell>
          <cell r="L1237">
            <v>188040000</v>
          </cell>
        </row>
        <row r="1238">
          <cell r="B1238" t="str">
            <v>SAHA204AC</v>
          </cell>
          <cell r="C1238" t="str">
            <v>Sahala/Syaiful</v>
          </cell>
          <cell r="D1238" t="str">
            <v>Sofia</v>
          </cell>
          <cell r="E1238" t="str">
            <v>Lingk. Kiring RT.001/RW.014 , Kel. Gedongombo Kec. Semanding</v>
          </cell>
          <cell r="F1238" t="str">
            <v>Tuban</v>
          </cell>
          <cell r="G1238" t="str">
            <v>3523155904020005</v>
          </cell>
          <cell r="H1238" t="str">
            <v>000000000000000</v>
          </cell>
          <cell r="J1238">
            <v>148432000</v>
          </cell>
          <cell r="K1238">
            <v>0</v>
          </cell>
          <cell r="L1238">
            <v>148432000</v>
          </cell>
        </row>
        <row r="1239">
          <cell r="B1239" t="str">
            <v>SAHA205AC</v>
          </cell>
          <cell r="C1239" t="str">
            <v>Sahala/Syaiful</v>
          </cell>
          <cell r="D1239" t="str">
            <v>Kacung Hariyanto</v>
          </cell>
          <cell r="E1239" t="str">
            <v>Dusun Karangrejo RT.001/RW.006 , Kel. Tegalrejo Kec. Merakurak</v>
          </cell>
          <cell r="F1239" t="str">
            <v>Tuban</v>
          </cell>
          <cell r="G1239" t="str">
            <v>3523130607940001</v>
          </cell>
          <cell r="H1239" t="str">
            <v>000000000000000</v>
          </cell>
          <cell r="J1239">
            <v>177728000</v>
          </cell>
          <cell r="K1239">
            <v>0</v>
          </cell>
          <cell r="L1239">
            <v>177728000</v>
          </cell>
        </row>
        <row r="1240">
          <cell r="B1240" t="str">
            <v>SAHA206AC</v>
          </cell>
          <cell r="C1240" t="str">
            <v>Sahala/Syaiful</v>
          </cell>
          <cell r="D1240" t="str">
            <v>Muhammad Abdullah Idris</v>
          </cell>
          <cell r="E1240" t="str">
            <v>Sendangharjo RT.006/RW.001 , Kel. Sendangharjo Kec. Brondong</v>
          </cell>
          <cell r="F1240" t="str">
            <v>Lamongan</v>
          </cell>
          <cell r="G1240" t="str">
            <v>3524070411010001</v>
          </cell>
          <cell r="H1240" t="str">
            <v>000000000000000</v>
          </cell>
          <cell r="J1240">
            <v>181688000</v>
          </cell>
          <cell r="K1240">
            <v>0</v>
          </cell>
          <cell r="L1240">
            <v>181688000</v>
          </cell>
        </row>
        <row r="1241">
          <cell r="B1241" t="str">
            <v>SAHA207AC</v>
          </cell>
          <cell r="C1241" t="str">
            <v>Sahala/Syaiful</v>
          </cell>
          <cell r="D1241" t="str">
            <v>Zaenal Abidin</v>
          </cell>
          <cell r="E1241" t="str">
            <v>Dusun Kedinding RT.003/RW.002 , Kel. Sekardadi Kec. Jenu</v>
          </cell>
          <cell r="F1241" t="str">
            <v>Tuban</v>
          </cell>
          <cell r="G1241" t="str">
            <v>3523121612020002</v>
          </cell>
          <cell r="H1241" t="str">
            <v>000000000000000</v>
          </cell>
          <cell r="J1241">
            <v>185016000</v>
          </cell>
          <cell r="K1241">
            <v>0</v>
          </cell>
          <cell r="L1241">
            <v>185016000</v>
          </cell>
        </row>
        <row r="1242">
          <cell r="B1242" t="str">
            <v>SAHA208AC</v>
          </cell>
          <cell r="C1242" t="str">
            <v>Sahala/Syaiful</v>
          </cell>
          <cell r="D1242" t="str">
            <v>Afifuddin Zahid</v>
          </cell>
          <cell r="E1242" t="str">
            <v>Widhe RT.002/RW.001 , Kel. Sedangharjo Kec. Brondong</v>
          </cell>
          <cell r="F1242" t="str">
            <v>Lamongan</v>
          </cell>
          <cell r="G1242" t="str">
            <v>3524072306010003</v>
          </cell>
          <cell r="H1242" t="str">
            <v>000000000000000</v>
          </cell>
          <cell r="J1242">
            <v>171424000</v>
          </cell>
          <cell r="K1242">
            <v>0</v>
          </cell>
          <cell r="L1242">
            <v>171424000</v>
          </cell>
        </row>
        <row r="1243">
          <cell r="B1243" t="str">
            <v>SAHA209AC</v>
          </cell>
          <cell r="C1243" t="str">
            <v>Sahala/Syaiful</v>
          </cell>
          <cell r="D1243" t="str">
            <v>Niken Ayu Damayanti, S.S</v>
          </cell>
          <cell r="E1243" t="str">
            <v>Jalan KH. Malik Dalam RT.001/RW.007 , Kel. Buring Kec. Kedungkandang</v>
          </cell>
          <cell r="F1243" t="str">
            <v>Malang</v>
          </cell>
          <cell r="G1243" t="str">
            <v>3316095606950004</v>
          </cell>
          <cell r="H1243" t="str">
            <v>000000000000000</v>
          </cell>
          <cell r="J1243">
            <v>176008000</v>
          </cell>
          <cell r="K1243">
            <v>0</v>
          </cell>
          <cell r="L1243">
            <v>176008000</v>
          </cell>
        </row>
        <row r="1244">
          <cell r="B1244" t="str">
            <v>SAHA210AC</v>
          </cell>
          <cell r="C1244" t="str">
            <v>Sahala/Syaiful</v>
          </cell>
          <cell r="D1244" t="str">
            <v>Kis Handoyo Poespito</v>
          </cell>
          <cell r="E1244" t="str">
            <v>Kutorejo GG. VI/412 RT.004/RW.001 , Kel. Kutorejo Kec. Tuban</v>
          </cell>
          <cell r="F1244" t="str">
            <v>Tuban</v>
          </cell>
          <cell r="G1244" t="str">
            <v>3523162509680001</v>
          </cell>
          <cell r="H1244" t="str">
            <v>000000000000000</v>
          </cell>
          <cell r="J1244">
            <v>186744000</v>
          </cell>
          <cell r="K1244">
            <v>0</v>
          </cell>
          <cell r="L1244">
            <v>186744000</v>
          </cell>
        </row>
        <row r="1245">
          <cell r="B1245" t="str">
            <v>SAHA211AC</v>
          </cell>
          <cell r="C1245" t="str">
            <v>Sahala/Syaiful</v>
          </cell>
          <cell r="D1245" t="str">
            <v>Richardus Onena Sanjaya</v>
          </cell>
          <cell r="E1245" t="str">
            <v>Godongombo Permai C/15 RT.006/RW.007 , Kel. Gedongomgo Kec. Semanding</v>
          </cell>
          <cell r="F1245" t="str">
            <v>Tuban</v>
          </cell>
          <cell r="G1245" t="str">
            <v>3523150909740005</v>
          </cell>
          <cell r="H1245" t="str">
            <v>000000000000000</v>
          </cell>
          <cell r="J1245">
            <v>160872000</v>
          </cell>
          <cell r="K1245">
            <v>0</v>
          </cell>
          <cell r="L1245">
            <v>160872000</v>
          </cell>
        </row>
        <row r="1246">
          <cell r="B1246" t="str">
            <v>SAHA212AC</v>
          </cell>
          <cell r="C1246" t="str">
            <v>Sahala/Syaiful</v>
          </cell>
          <cell r="D1246" t="str">
            <v>Achmad Nur Arifin</v>
          </cell>
          <cell r="E1246" t="str">
            <v>Dusun Jarum RT.001/RW.013 , Kel. Jadi Kec. Semanding</v>
          </cell>
          <cell r="F1246" t="str">
            <v>Tuban</v>
          </cell>
          <cell r="G1246" t="str">
            <v>3523150507050002</v>
          </cell>
          <cell r="H1246" t="str">
            <v>000000000000000</v>
          </cell>
          <cell r="J1246">
            <v>140728000</v>
          </cell>
          <cell r="K1246">
            <v>0</v>
          </cell>
          <cell r="L1246">
            <v>140728000</v>
          </cell>
        </row>
        <row r="1247">
          <cell r="B1247" t="str">
            <v>SAHA213AC</v>
          </cell>
          <cell r="C1247" t="str">
            <v>Sahala/Syaiful</v>
          </cell>
          <cell r="D1247" t="str">
            <v>Dini Kristiana Ningtyas</v>
          </cell>
          <cell r="E1247" t="str">
            <v>Dusun Tambakrejo RT.004/RW.003 , Kel. Glodog Kec. Palang</v>
          </cell>
          <cell r="F1247" t="str">
            <v>Tuban</v>
          </cell>
          <cell r="G1247" t="str">
            <v>3523186712050001</v>
          </cell>
          <cell r="H1247" t="str">
            <v>000000000000000</v>
          </cell>
          <cell r="J1247">
            <v>172392000</v>
          </cell>
          <cell r="K1247">
            <v>0</v>
          </cell>
          <cell r="L1247">
            <v>172392000</v>
          </cell>
        </row>
        <row r="1248">
          <cell r="B1248" t="str">
            <v>SAHA214AC</v>
          </cell>
          <cell r="C1248" t="str">
            <v>Sahala/Syaiful</v>
          </cell>
          <cell r="D1248" t="str">
            <v>Bagos Rianto</v>
          </cell>
          <cell r="E1248" t="str">
            <v>Dusun Bogor RT.004/RW.015 , Kel. Bektiharjo Kec. Semanding</v>
          </cell>
          <cell r="F1248" t="str">
            <v>Tuban</v>
          </cell>
          <cell r="G1248" t="str">
            <v>3523153112010001</v>
          </cell>
          <cell r="H1248" t="str">
            <v>000000000000000</v>
          </cell>
          <cell r="J1248">
            <v>146368000</v>
          </cell>
          <cell r="K1248">
            <v>0</v>
          </cell>
          <cell r="L1248">
            <v>146368000</v>
          </cell>
        </row>
        <row r="1249">
          <cell r="B1249" t="str">
            <v>SAHA215AC</v>
          </cell>
          <cell r="C1249" t="str">
            <v>Sahala/Syaiful</v>
          </cell>
          <cell r="D1249" t="str">
            <v>Ester Asri Herliyan</v>
          </cell>
          <cell r="E1249" t="str">
            <v>Sendangharjo GG. II/71 B RT.003/RW.003 , Kel. Sendangharjo Kec. Tuban</v>
          </cell>
          <cell r="F1249" t="str">
            <v>Tuban</v>
          </cell>
          <cell r="G1249" t="str">
            <v>3523166507910001</v>
          </cell>
          <cell r="H1249" t="str">
            <v>000000000000000</v>
          </cell>
          <cell r="J1249">
            <v>147344000</v>
          </cell>
          <cell r="K1249">
            <v>0</v>
          </cell>
          <cell r="L1249">
            <v>147344000</v>
          </cell>
        </row>
        <row r="1250">
          <cell r="B1250" t="str">
            <v>SAHA216AC</v>
          </cell>
          <cell r="C1250" t="str">
            <v>Sahala/Syaiful</v>
          </cell>
          <cell r="D1250" t="str">
            <v>Iva Zamlikha</v>
          </cell>
          <cell r="E1250" t="str">
            <v>Perum Latsari Indah Asri No. 4 RT.004/RW.004 , Kel. Latsari Kec. Tuban</v>
          </cell>
          <cell r="F1250" t="str">
            <v>Tuban</v>
          </cell>
          <cell r="G1250" t="str">
            <v>3523084610720001</v>
          </cell>
          <cell r="H1250" t="str">
            <v>000000000000000</v>
          </cell>
          <cell r="J1250">
            <v>147864000</v>
          </cell>
          <cell r="K1250">
            <v>0</v>
          </cell>
          <cell r="L1250">
            <v>147864000</v>
          </cell>
        </row>
        <row r="1251">
          <cell r="B1251" t="str">
            <v>SANT01AC</v>
          </cell>
          <cell r="C1251" t="str">
            <v>Santoso Tani</v>
          </cell>
          <cell r="D1251" t="str">
            <v>Suhendro</v>
          </cell>
          <cell r="E1251" t="str">
            <v>Dsn. Kebonrejo, RT.001/RW.001, Kel. Ngembul, Kec. Binangun</v>
          </cell>
          <cell r="F1251" t="str">
            <v>Blitar</v>
          </cell>
          <cell r="G1251" t="str">
            <v>3505161011740002</v>
          </cell>
          <cell r="H1251" t="str">
            <v>000000000000000</v>
          </cell>
          <cell r="J1251">
            <v>0</v>
          </cell>
          <cell r="K1251">
            <v>0</v>
          </cell>
          <cell r="L1251">
            <v>0</v>
          </cell>
        </row>
        <row r="1252">
          <cell r="B1252" t="str">
            <v>SANT02AC</v>
          </cell>
          <cell r="C1252" t="str">
            <v>Santoso Tani</v>
          </cell>
          <cell r="D1252" t="str">
            <v>Handri Setyo Rahayu</v>
          </cell>
          <cell r="E1252" t="str">
            <v>Dsn. Mojorejo, Rt.019/RW.004, Kel. Mojorejo, Kec. Wates</v>
          </cell>
          <cell r="F1252" t="str">
            <v>Blitar</v>
          </cell>
          <cell r="G1252" t="str">
            <v>3505201309900001</v>
          </cell>
          <cell r="H1252" t="str">
            <v>000000000000000</v>
          </cell>
          <cell r="J1252">
            <v>0</v>
          </cell>
          <cell r="K1252">
            <v>0</v>
          </cell>
          <cell r="L1252">
            <v>0</v>
          </cell>
        </row>
        <row r="1253">
          <cell r="B1253" t="str">
            <v>SANT03AC</v>
          </cell>
          <cell r="C1253" t="str">
            <v>Santoso Tani</v>
          </cell>
          <cell r="D1253" t="str">
            <v>Mujiyono</v>
          </cell>
          <cell r="E1253" t="str">
            <v>Lingkungan Jatikunir, RT.002/RW.008, Kel. Bajang, Kec. Talun</v>
          </cell>
          <cell r="F1253" t="str">
            <v>Blitar</v>
          </cell>
          <cell r="G1253" t="str">
            <v>3505142107690001</v>
          </cell>
          <cell r="H1253" t="str">
            <v>000000000000000</v>
          </cell>
          <cell r="J1253">
            <v>0</v>
          </cell>
          <cell r="K1253">
            <v>0</v>
          </cell>
          <cell r="L1253">
            <v>0</v>
          </cell>
        </row>
        <row r="1254">
          <cell r="B1254" t="str">
            <v>SANT04AC</v>
          </cell>
          <cell r="C1254" t="str">
            <v>Santoso Tani</v>
          </cell>
          <cell r="D1254" t="str">
            <v>Subiyanto</v>
          </cell>
          <cell r="E1254" t="str">
            <v>Jl. Brantas, RT.002/RW.003, Kel. Talun, Kec. Talun</v>
          </cell>
          <cell r="F1254" t="str">
            <v>Blitar</v>
          </cell>
          <cell r="G1254" t="str">
            <v>3505140508530001</v>
          </cell>
          <cell r="H1254" t="str">
            <v>000000000000000</v>
          </cell>
          <cell r="J1254">
            <v>0</v>
          </cell>
          <cell r="K1254">
            <v>0</v>
          </cell>
          <cell r="L1254">
            <v>0</v>
          </cell>
        </row>
        <row r="1255">
          <cell r="B1255" t="str">
            <v>SANT05AC</v>
          </cell>
          <cell r="C1255" t="str">
            <v>Santoso Tani</v>
          </cell>
          <cell r="D1255" t="str">
            <v>Sukris Wiyono</v>
          </cell>
          <cell r="E1255" t="str">
            <v>Lingkungan Keningaran, RT.003 / RW.003, Kel. Bajang, Kec. Talun</v>
          </cell>
          <cell r="F1255" t="str">
            <v>Blitar</v>
          </cell>
          <cell r="G1255" t="str">
            <v>3505140611620001</v>
          </cell>
          <cell r="H1255" t="str">
            <v>000000000000000</v>
          </cell>
          <cell r="J1255">
            <v>0</v>
          </cell>
          <cell r="K1255">
            <v>0</v>
          </cell>
          <cell r="L1255">
            <v>0</v>
          </cell>
        </row>
        <row r="1256">
          <cell r="B1256" t="str">
            <v>SANT06AC</v>
          </cell>
          <cell r="C1256" t="str">
            <v>Santoso Tani</v>
          </cell>
          <cell r="D1256" t="str">
            <v>Supadi</v>
          </cell>
          <cell r="E1256" t="str">
            <v>Lingkungan Gogosuket, RT.001/RW.004, Kel. Bajang, Kec. Talun</v>
          </cell>
          <cell r="F1256" t="str">
            <v>Blitar</v>
          </cell>
          <cell r="G1256" t="str">
            <v>3505142909520001</v>
          </cell>
          <cell r="H1256" t="str">
            <v>000000000000000</v>
          </cell>
          <cell r="J1256">
            <v>0</v>
          </cell>
          <cell r="K1256">
            <v>0</v>
          </cell>
          <cell r="L1256">
            <v>0</v>
          </cell>
        </row>
        <row r="1257">
          <cell r="B1257" t="str">
            <v>SANT07AC</v>
          </cell>
          <cell r="C1257" t="str">
            <v>Santoso Tani</v>
          </cell>
          <cell r="D1257" t="str">
            <v>Suyoto</v>
          </cell>
          <cell r="E1257" t="str">
            <v>Lingkungan Pagak, RT.002/RW.008, Kel. Talun, Kec. Talun</v>
          </cell>
          <cell r="F1257" t="str">
            <v>Blitar</v>
          </cell>
          <cell r="G1257" t="str">
            <v>3505140507400002</v>
          </cell>
          <cell r="H1257" t="str">
            <v>000000000000000</v>
          </cell>
          <cell r="J1257">
            <v>0</v>
          </cell>
          <cell r="K1257">
            <v>0</v>
          </cell>
          <cell r="L1257">
            <v>0</v>
          </cell>
        </row>
        <row r="1258">
          <cell r="B1258" t="str">
            <v>SANT08AC</v>
          </cell>
          <cell r="C1258" t="str">
            <v>Santoso Tani</v>
          </cell>
          <cell r="D1258" t="str">
            <v>Sugeng Widayat</v>
          </cell>
          <cell r="E1258" t="str">
            <v>Dsn. Bumirejo, RT.003/RW.002, Kel. Bumirejo, Kec. Kesamben</v>
          </cell>
          <cell r="F1258" t="str">
            <v>Blitar</v>
          </cell>
          <cell r="G1258" t="str">
            <v>3505192802920002</v>
          </cell>
          <cell r="H1258" t="str">
            <v>000000000000000</v>
          </cell>
          <cell r="J1258">
            <v>0</v>
          </cell>
          <cell r="K1258">
            <v>0</v>
          </cell>
          <cell r="L1258">
            <v>0</v>
          </cell>
        </row>
        <row r="1259">
          <cell r="B1259" t="str">
            <v>SANT09AC</v>
          </cell>
          <cell r="C1259" t="str">
            <v>Santoso Tani</v>
          </cell>
          <cell r="D1259" t="str">
            <v>Suhardini</v>
          </cell>
          <cell r="E1259" t="str">
            <v>Dusun Kembangarum, RT.003/RW.001, Kel. Wonorejo, Kec. Talun</v>
          </cell>
          <cell r="F1259" t="str">
            <v>Blitar</v>
          </cell>
          <cell r="G1259" t="str">
            <v>3505145804890001</v>
          </cell>
          <cell r="H1259" t="str">
            <v>000000000000000</v>
          </cell>
          <cell r="J1259">
            <v>0</v>
          </cell>
          <cell r="K1259">
            <v>0</v>
          </cell>
          <cell r="L1259">
            <v>0</v>
          </cell>
        </row>
        <row r="1260">
          <cell r="B1260" t="str">
            <v>SANT10AC</v>
          </cell>
          <cell r="C1260" t="str">
            <v>Santoso Tani</v>
          </cell>
          <cell r="D1260" t="str">
            <v>Achmad Jaelani</v>
          </cell>
          <cell r="E1260" t="str">
            <v>Dusun Kembangarum, RT.003/RW.001, Kel. Wonorejo, Kec. Talun</v>
          </cell>
          <cell r="F1260" t="str">
            <v>Blitar</v>
          </cell>
          <cell r="G1260" t="str">
            <v>3505142409890001</v>
          </cell>
          <cell r="H1260" t="str">
            <v>000000000000000</v>
          </cell>
          <cell r="J1260">
            <v>0</v>
          </cell>
          <cell r="K1260">
            <v>0</v>
          </cell>
          <cell r="L1260">
            <v>0</v>
          </cell>
        </row>
        <row r="1261">
          <cell r="B1261" t="str">
            <v>SANT11AC</v>
          </cell>
          <cell r="C1261" t="str">
            <v>Santoso Tani</v>
          </cell>
          <cell r="D1261" t="str">
            <v>Hariyati</v>
          </cell>
          <cell r="E1261" t="str">
            <v>Jl. Ronggowuni, RT.003/RW.002, Kel. Wlingi, Kec. Wlingi</v>
          </cell>
          <cell r="F1261" t="str">
            <v>Blitar</v>
          </cell>
          <cell r="G1261" t="str">
            <v>3505175705680002</v>
          </cell>
          <cell r="H1261" t="str">
            <v>000000000000000</v>
          </cell>
          <cell r="J1261">
            <v>0</v>
          </cell>
          <cell r="K1261">
            <v>0</v>
          </cell>
          <cell r="L1261">
            <v>0</v>
          </cell>
        </row>
        <row r="1262">
          <cell r="B1262" t="str">
            <v>SARA01AC</v>
          </cell>
          <cell r="C1262" t="str">
            <v>Sarana Agro Makmur/Hadi</v>
          </cell>
          <cell r="D1262" t="str">
            <v>Panut</v>
          </cell>
          <cell r="E1262" t="str">
            <v>Dsn. Stoplas, RT.004/RW.004, Kel. Kedungrejo, Kec. Muncar</v>
          </cell>
          <cell r="F1262" t="str">
            <v>Banyuwangi</v>
          </cell>
          <cell r="G1262" t="str">
            <v>3510051003580004</v>
          </cell>
          <cell r="H1262" t="str">
            <v>000000000000000</v>
          </cell>
          <cell r="I1262" t="str">
            <v>Masuk Z karna Nota Replacement</v>
          </cell>
          <cell r="J1262">
            <v>0</v>
          </cell>
          <cell r="K1262">
            <v>0</v>
          </cell>
          <cell r="L1262">
            <v>0</v>
          </cell>
        </row>
        <row r="1263">
          <cell r="B1263" t="str">
            <v>SARI01AC</v>
          </cell>
          <cell r="C1263" t="str">
            <v>Sarise, Toko</v>
          </cell>
          <cell r="D1263" t="str">
            <v>Zainudin</v>
          </cell>
          <cell r="E1263" t="str">
            <v>Talabiu, RT.011/RW.006, Kel. Talabiu, Kec. Woha</v>
          </cell>
          <cell r="F1263" t="str">
            <v>Bima</v>
          </cell>
          <cell r="G1263" t="str">
            <v>5206031011961007</v>
          </cell>
          <cell r="H1263" t="str">
            <v>000000000000000</v>
          </cell>
          <cell r="I1263" t="str">
            <v>1 KTP tdk jelas</v>
          </cell>
          <cell r="J1263">
            <v>0</v>
          </cell>
          <cell r="K1263">
            <v>0</v>
          </cell>
          <cell r="L1263">
            <v>0</v>
          </cell>
        </row>
        <row r="1264">
          <cell r="B1264" t="str">
            <v>SARI02AC</v>
          </cell>
          <cell r="C1264" t="str">
            <v>Sarise, Toko</v>
          </cell>
          <cell r="D1264" t="str">
            <v>Sumarni</v>
          </cell>
          <cell r="E1264" t="str">
            <v>Talabiu, RT.011/RW.006, Kel. Talabiu, Kec. Woha</v>
          </cell>
          <cell r="F1264" t="str">
            <v>Bima</v>
          </cell>
          <cell r="G1264" t="str">
            <v>5206035802760002</v>
          </cell>
          <cell r="H1264" t="str">
            <v>000000000000000</v>
          </cell>
          <cell r="J1264">
            <v>0</v>
          </cell>
          <cell r="K1264">
            <v>0</v>
          </cell>
          <cell r="L1264">
            <v>0</v>
          </cell>
        </row>
        <row r="1265">
          <cell r="B1265" t="str">
            <v>SARI03AC</v>
          </cell>
          <cell r="C1265" t="str">
            <v>Sarise, Toko</v>
          </cell>
          <cell r="D1265" t="str">
            <v>Irna Suryani</v>
          </cell>
          <cell r="E1265" t="str">
            <v>Ntonggu, RT.024/RW.007, Kel. Ntonggu, Kec. Palibelo</v>
          </cell>
          <cell r="F1265" t="str">
            <v>Bima</v>
          </cell>
          <cell r="G1265" t="str">
            <v>5206185903000001</v>
          </cell>
          <cell r="H1265" t="str">
            <v>000000000000000</v>
          </cell>
          <cell r="J1265">
            <v>0</v>
          </cell>
          <cell r="K1265">
            <v>0</v>
          </cell>
          <cell r="L1265">
            <v>0</v>
          </cell>
        </row>
        <row r="1266">
          <cell r="B1266" t="str">
            <v>SARI04AC</v>
          </cell>
          <cell r="C1266" t="str">
            <v>Sarise, Toko</v>
          </cell>
          <cell r="D1266" t="str">
            <v>Safrudin</v>
          </cell>
          <cell r="E1266" t="str">
            <v>Talabiu, RT.011/RW.006, Kel. Talabiu, Kec. Woha</v>
          </cell>
          <cell r="F1266" t="str">
            <v>Bima</v>
          </cell>
          <cell r="G1266" t="str">
            <v>5206030605751005</v>
          </cell>
          <cell r="H1266" t="str">
            <v>000000000000000</v>
          </cell>
          <cell r="J1266">
            <v>0</v>
          </cell>
          <cell r="K1266">
            <v>0</v>
          </cell>
          <cell r="L1266">
            <v>0</v>
          </cell>
        </row>
        <row r="1267">
          <cell r="B1267" t="str">
            <v>SATU01AC</v>
          </cell>
          <cell r="C1267" t="str">
            <v>Satura Tani/Febrisnaini</v>
          </cell>
          <cell r="D1267" t="str">
            <v>Dewi Sekartaji Heryan</v>
          </cell>
          <cell r="E1267" t="str">
            <v>Dusun Kauman, RT.001/RW.002, kel. Lab. Sumbawa, Kec. Labuhan Badas</v>
          </cell>
          <cell r="F1267" t="str">
            <v>Sumbawa</v>
          </cell>
          <cell r="G1267" t="str">
            <v>5203056201980002</v>
          </cell>
          <cell r="H1267" t="str">
            <v>000000000000000</v>
          </cell>
          <cell r="I1267" t="str">
            <v>sama dengan Hidayat Tani, UD</v>
          </cell>
          <cell r="J1267">
            <v>25760000</v>
          </cell>
          <cell r="K1267">
            <v>0</v>
          </cell>
          <cell r="L1267">
            <v>25760000</v>
          </cell>
        </row>
        <row r="1268">
          <cell r="B1268" t="str">
            <v>SATU02AC</v>
          </cell>
          <cell r="C1268" t="str">
            <v>Satura Tani/Febrisnaini</v>
          </cell>
          <cell r="D1268" t="str">
            <v>Haeriah</v>
          </cell>
          <cell r="E1268" t="str">
            <v>Kampung Turingan, RT.001/RW.001, Kel. Tanjung, Kec. Labuhan Haji</v>
          </cell>
          <cell r="F1268" t="str">
            <v>Lombok Timur</v>
          </cell>
          <cell r="G1268" t="str">
            <v>5203174107610368</v>
          </cell>
          <cell r="H1268" t="str">
            <v>000000000000000</v>
          </cell>
          <cell r="J1268">
            <v>25760000</v>
          </cell>
          <cell r="K1268">
            <v>0</v>
          </cell>
          <cell r="L1268">
            <v>25760000</v>
          </cell>
        </row>
        <row r="1269">
          <cell r="B1269" t="str">
            <v>SATU03AC</v>
          </cell>
          <cell r="C1269" t="str">
            <v>Satura Tani/Febrisnaini</v>
          </cell>
          <cell r="D1269" t="str">
            <v>Hajjah Juriah</v>
          </cell>
          <cell r="E1269" t="str">
            <v>Sompang, RT.004/RW.002, Kel. Tetebatu Selatan, Kec. Sikur</v>
          </cell>
          <cell r="F1269" t="str">
            <v>Lombok Timur</v>
          </cell>
          <cell r="G1269" t="str">
            <v>5203044107660304</v>
          </cell>
          <cell r="H1269" t="str">
            <v>000000000000000</v>
          </cell>
          <cell r="J1269">
            <v>24023999.999835998</v>
          </cell>
          <cell r="K1269">
            <v>0</v>
          </cell>
          <cell r="L1269">
            <v>24023999.999835998</v>
          </cell>
        </row>
        <row r="1270">
          <cell r="B1270" t="str">
            <v>SATU04AC</v>
          </cell>
          <cell r="C1270" t="str">
            <v>Satura Tani/Febrisnaini</v>
          </cell>
          <cell r="D1270" t="str">
            <v>Zaeniah</v>
          </cell>
          <cell r="E1270" t="str">
            <v>Lendang Penyonggok, RT.004/RW.004, Kel. Tetebatu Selatan, Kec. Sikur</v>
          </cell>
          <cell r="F1270" t="str">
            <v>Lombok Timur</v>
          </cell>
          <cell r="G1270" t="str">
            <v>5203045507850007</v>
          </cell>
          <cell r="H1270" t="str">
            <v>000000000000000</v>
          </cell>
          <cell r="J1270">
            <v>18703999.999982081</v>
          </cell>
          <cell r="K1270">
            <v>0</v>
          </cell>
          <cell r="L1270">
            <v>18703999.999982081</v>
          </cell>
        </row>
        <row r="1271">
          <cell r="B1271" t="str">
            <v>SATU05AC</v>
          </cell>
          <cell r="C1271" t="str">
            <v>Satura Tani/Febrisnaini</v>
          </cell>
          <cell r="D1271" t="str">
            <v>Suparlan</v>
          </cell>
          <cell r="E1271" t="str">
            <v>Lekong Pituk, Kel. Tetebatu Selatan, Kec. Sikur</v>
          </cell>
          <cell r="F1271" t="str">
            <v>Lombok Timur</v>
          </cell>
          <cell r="G1271" t="str">
            <v>5203043112780287</v>
          </cell>
          <cell r="H1271" t="str">
            <v>000000000000000</v>
          </cell>
          <cell r="J1271">
            <v>12960000</v>
          </cell>
          <cell r="K1271">
            <v>0</v>
          </cell>
          <cell r="L1271">
            <v>12960000</v>
          </cell>
        </row>
        <row r="1272">
          <cell r="B1272" t="str">
            <v>SATU06AC</v>
          </cell>
          <cell r="C1272" t="str">
            <v>Satura Tani/Febrisnaini</v>
          </cell>
          <cell r="D1272" t="str">
            <v>Supandi</v>
          </cell>
          <cell r="E1272" t="str">
            <v>Kebon Dalem, Kel. Kotaraja, Kec. Sikur</v>
          </cell>
          <cell r="F1272" t="str">
            <v>Lombok Timur</v>
          </cell>
          <cell r="G1272" t="str">
            <v>5203043112830160</v>
          </cell>
          <cell r="H1272" t="str">
            <v>000000000000000</v>
          </cell>
          <cell r="J1272">
            <v>14760000</v>
          </cell>
          <cell r="K1272">
            <v>0</v>
          </cell>
          <cell r="L1272">
            <v>14760000</v>
          </cell>
        </row>
        <row r="1273">
          <cell r="B1273" t="str">
            <v>SEKA22AC</v>
          </cell>
          <cell r="C1273" t="str">
            <v>Sekar Ayu Lestari</v>
          </cell>
          <cell r="D1273" t="str">
            <v>I Wayan Sutar</v>
          </cell>
          <cell r="E1273" t="str">
            <v>Banjar Pukuh, Kel. Tiga, Kec. Susut</v>
          </cell>
          <cell r="F1273" t="str">
            <v>Bangli</v>
          </cell>
          <cell r="G1273" t="str">
            <v>5106013112690124</v>
          </cell>
          <cell r="H1273" t="str">
            <v>000000000000000</v>
          </cell>
          <cell r="J1273">
            <v>0</v>
          </cell>
          <cell r="K1273">
            <v>0</v>
          </cell>
          <cell r="L1273">
            <v>0</v>
          </cell>
        </row>
        <row r="1274">
          <cell r="B1274" t="str">
            <v>SEKA23AC</v>
          </cell>
          <cell r="C1274" t="str">
            <v>Sekar Ayu Lestari</v>
          </cell>
          <cell r="D1274" t="str">
            <v>I Nengah Kundri</v>
          </cell>
          <cell r="E1274" t="str">
            <v>Banjar Pukuh, Kel. Tiga, Kec. Susut</v>
          </cell>
          <cell r="F1274" t="str">
            <v>Bangli</v>
          </cell>
          <cell r="G1274" t="str">
            <v>5106013112700102</v>
          </cell>
          <cell r="H1274" t="str">
            <v>000000000000000</v>
          </cell>
          <cell r="J1274">
            <v>0</v>
          </cell>
          <cell r="K1274">
            <v>0</v>
          </cell>
          <cell r="L1274">
            <v>0</v>
          </cell>
        </row>
        <row r="1275">
          <cell r="B1275" t="str">
            <v>SEKA24AC</v>
          </cell>
          <cell r="C1275" t="str">
            <v>Sekar Ayu Lestari</v>
          </cell>
          <cell r="D1275" t="str">
            <v>I Kadek Armawan</v>
          </cell>
          <cell r="E1275" t="str">
            <v>Banjar Pukuh, Kel. Tiga, Kec. Susut</v>
          </cell>
          <cell r="F1275" t="str">
            <v>Bangli</v>
          </cell>
          <cell r="G1275" t="str">
            <v>5106010103940001</v>
          </cell>
          <cell r="H1275" t="str">
            <v>000000000000000</v>
          </cell>
          <cell r="J1275">
            <v>0</v>
          </cell>
          <cell r="K1275">
            <v>0</v>
          </cell>
          <cell r="L1275">
            <v>0</v>
          </cell>
        </row>
        <row r="1276">
          <cell r="B1276" t="str">
            <v>SEKA25AC</v>
          </cell>
          <cell r="C1276" t="str">
            <v>Sekar Ayu Lestari</v>
          </cell>
          <cell r="D1276" t="str">
            <v>I Wayan Subagia</v>
          </cell>
          <cell r="E1276" t="str">
            <v>BR. Pukuh, Kel. Tiga, Kec. Susut</v>
          </cell>
          <cell r="F1276" t="str">
            <v>Bangli</v>
          </cell>
          <cell r="G1276" t="str">
            <v>5106012404810004</v>
          </cell>
          <cell r="H1276" t="str">
            <v>000000000000000</v>
          </cell>
          <cell r="J1276">
            <v>0</v>
          </cell>
          <cell r="K1276">
            <v>0</v>
          </cell>
          <cell r="L1276">
            <v>0</v>
          </cell>
        </row>
        <row r="1277">
          <cell r="B1277" t="str">
            <v>SEKA26AC</v>
          </cell>
          <cell r="C1277" t="str">
            <v>Sekar Ayu Lestari</v>
          </cell>
          <cell r="D1277" t="str">
            <v>I Wayan Urip</v>
          </cell>
          <cell r="E1277" t="str">
            <v>Dusun Pukuh, Kel. Tiga, Kec. Susut</v>
          </cell>
          <cell r="F1277" t="str">
            <v>Bangli</v>
          </cell>
          <cell r="G1277" t="str">
            <v>5106013112490031</v>
          </cell>
          <cell r="H1277" t="str">
            <v>000000000000000</v>
          </cell>
          <cell r="J1277">
            <v>0</v>
          </cell>
          <cell r="K1277">
            <v>0</v>
          </cell>
          <cell r="L1277">
            <v>0</v>
          </cell>
        </row>
        <row r="1278">
          <cell r="B1278" t="str">
            <v>SEKA27AC</v>
          </cell>
          <cell r="C1278" t="str">
            <v>Sekar Ayu Lestari</v>
          </cell>
          <cell r="D1278" t="str">
            <v>I Nengah Sarwa</v>
          </cell>
          <cell r="E1278" t="str">
            <v>Banjar Temaga, Kel. Tiga, Kec. Susut</v>
          </cell>
          <cell r="F1278" t="str">
            <v>Bangli</v>
          </cell>
          <cell r="G1278" t="str">
            <v>5106010206760001</v>
          </cell>
          <cell r="H1278" t="str">
            <v>000000000000000</v>
          </cell>
          <cell r="J1278">
            <v>0</v>
          </cell>
          <cell r="K1278">
            <v>0</v>
          </cell>
          <cell r="L1278">
            <v>0</v>
          </cell>
        </row>
        <row r="1279">
          <cell r="B1279" t="str">
            <v>SEKA28AC</v>
          </cell>
          <cell r="C1279" t="str">
            <v>Sekar Ayu Lestari</v>
          </cell>
          <cell r="D1279" t="str">
            <v>I Nengah Rauh</v>
          </cell>
          <cell r="E1279" t="str">
            <v>Banjar Kayuambua, Kel. Tiga, Kec. Susut</v>
          </cell>
          <cell r="F1279" t="str">
            <v>Bangli</v>
          </cell>
          <cell r="G1279" t="str">
            <v>5106010708770005</v>
          </cell>
          <cell r="H1279" t="str">
            <v>000000000000000</v>
          </cell>
          <cell r="J1279">
            <v>0</v>
          </cell>
          <cell r="K1279">
            <v>0</v>
          </cell>
          <cell r="L1279">
            <v>0</v>
          </cell>
        </row>
        <row r="1280">
          <cell r="B1280" t="str">
            <v>SEKA29AC</v>
          </cell>
          <cell r="C1280" t="str">
            <v>Sekar Ayu Lestari</v>
          </cell>
          <cell r="D1280" t="str">
            <v>I Wayan Rana</v>
          </cell>
          <cell r="E1280" t="str">
            <v>Banjar Kayuambua, Kel. Tiga, Kec. Susut</v>
          </cell>
          <cell r="F1280" t="str">
            <v>Bangli</v>
          </cell>
          <cell r="G1280" t="str">
            <v>5106010404860004</v>
          </cell>
          <cell r="H1280" t="str">
            <v>000000000000000</v>
          </cell>
          <cell r="J1280">
            <v>0</v>
          </cell>
          <cell r="K1280">
            <v>0</v>
          </cell>
          <cell r="L1280">
            <v>0</v>
          </cell>
        </row>
        <row r="1281">
          <cell r="B1281" t="str">
            <v>SEKA30AC</v>
          </cell>
          <cell r="C1281" t="str">
            <v>Sekar Ayu Lestari</v>
          </cell>
          <cell r="D1281" t="str">
            <v>I Wayan Sinah</v>
          </cell>
          <cell r="E1281" t="str">
            <v>Banjar Kayuambua, Kel. Tiga, Kec. Susut</v>
          </cell>
          <cell r="F1281" t="str">
            <v>Bangli</v>
          </cell>
          <cell r="G1281" t="str">
            <v>5106013112600229</v>
          </cell>
          <cell r="H1281" t="str">
            <v>000000000000000</v>
          </cell>
          <cell r="J1281">
            <v>0</v>
          </cell>
          <cell r="K1281">
            <v>0</v>
          </cell>
          <cell r="L1281">
            <v>0</v>
          </cell>
        </row>
        <row r="1282">
          <cell r="B1282" t="str">
            <v>SEKA31AC</v>
          </cell>
          <cell r="C1282" t="str">
            <v>Sekar Ayu Lestari</v>
          </cell>
          <cell r="D1282" t="str">
            <v>I Ketut Budiasa</v>
          </cell>
          <cell r="E1282" t="str">
            <v>BR. Kayuambua, Kel. Tiga, Kec. Susut</v>
          </cell>
          <cell r="F1282" t="str">
            <v>Bangli</v>
          </cell>
          <cell r="G1282" t="str">
            <v>5106011001710004</v>
          </cell>
          <cell r="H1282" t="str">
            <v>000000000000000</v>
          </cell>
          <cell r="J1282">
            <v>0</v>
          </cell>
          <cell r="K1282">
            <v>0</v>
          </cell>
          <cell r="L1282">
            <v>0</v>
          </cell>
        </row>
        <row r="1283">
          <cell r="B1283" t="str">
            <v>SEKA32AC</v>
          </cell>
          <cell r="C1283" t="str">
            <v>Sekar Ayu Lestari</v>
          </cell>
          <cell r="D1283" t="str">
            <v>I Wayan Suparta</v>
          </cell>
          <cell r="E1283" t="str">
            <v>BR. Kayuambua, Kel. Tiga, Kec. Susut</v>
          </cell>
          <cell r="F1283" t="str">
            <v>Bangli</v>
          </cell>
          <cell r="G1283" t="str">
            <v>5106012704010001</v>
          </cell>
          <cell r="H1283" t="str">
            <v>000000000000000</v>
          </cell>
          <cell r="J1283">
            <v>0</v>
          </cell>
          <cell r="K1283">
            <v>0</v>
          </cell>
          <cell r="L1283">
            <v>0</v>
          </cell>
        </row>
        <row r="1284">
          <cell r="B1284" t="str">
            <v>SEKA33AC</v>
          </cell>
          <cell r="C1284" t="str">
            <v>Sekar Ayu Lestari</v>
          </cell>
          <cell r="D1284" t="str">
            <v>I Nyoman Suartika</v>
          </cell>
          <cell r="E1284" t="str">
            <v>BR. Kayuambua, Kel. Tiga, Kec. Susut</v>
          </cell>
          <cell r="F1284" t="str">
            <v>Bangli</v>
          </cell>
          <cell r="G1284" t="str">
            <v>5106013112710120</v>
          </cell>
          <cell r="H1284" t="str">
            <v>000000000000000</v>
          </cell>
          <cell r="J1284">
            <v>0</v>
          </cell>
          <cell r="K1284">
            <v>0</v>
          </cell>
          <cell r="L1284">
            <v>0</v>
          </cell>
        </row>
        <row r="1285">
          <cell r="B1285" t="str">
            <v>SEKA34AC</v>
          </cell>
          <cell r="C1285" t="str">
            <v>Sekar Ayu Lestari</v>
          </cell>
          <cell r="D1285" t="str">
            <v>I Putu Wiradnyana</v>
          </cell>
          <cell r="E1285" t="str">
            <v>Lingk./BR. Pekuwon, Kel. Cempaga, Kec. Bangli</v>
          </cell>
          <cell r="F1285" t="str">
            <v>Bangli</v>
          </cell>
          <cell r="G1285" t="str">
            <v>5106020611940001</v>
          </cell>
          <cell r="H1285" t="str">
            <v>000000000000000</v>
          </cell>
          <cell r="J1285">
            <v>0</v>
          </cell>
          <cell r="K1285">
            <v>0</v>
          </cell>
          <cell r="L1285">
            <v>0</v>
          </cell>
        </row>
        <row r="1286">
          <cell r="B1286" t="str">
            <v>SEKA35AC</v>
          </cell>
          <cell r="C1286" t="str">
            <v>Sekar Ayu Lestari</v>
          </cell>
          <cell r="D1286" t="str">
            <v>I Wayan Widana</v>
          </cell>
          <cell r="E1286" t="str">
            <v>Lingk./BR. Pekuwon, Kel. Cempaga, Kec. Bangli</v>
          </cell>
          <cell r="F1286" t="str">
            <v>Bangli</v>
          </cell>
          <cell r="G1286" t="str">
            <v>5106023112630339</v>
          </cell>
          <cell r="H1286" t="str">
            <v>000000000000000</v>
          </cell>
          <cell r="J1286">
            <v>0</v>
          </cell>
          <cell r="K1286">
            <v>0</v>
          </cell>
          <cell r="L1286">
            <v>0</v>
          </cell>
        </row>
        <row r="1287">
          <cell r="B1287" t="str">
            <v>SEKA36AC</v>
          </cell>
          <cell r="C1287" t="str">
            <v>Sekar Ayu Lestari</v>
          </cell>
          <cell r="D1287" t="str">
            <v>I Wayan Widiarta</v>
          </cell>
          <cell r="E1287" t="str">
            <v>Desa Belangan, Kel. Belangan, Kec. Kintamani</v>
          </cell>
          <cell r="F1287" t="str">
            <v>Bangli</v>
          </cell>
          <cell r="G1287" t="str">
            <v>5106042208910005</v>
          </cell>
          <cell r="H1287" t="str">
            <v>000000000000000</v>
          </cell>
          <cell r="J1287">
            <v>0</v>
          </cell>
          <cell r="K1287">
            <v>0</v>
          </cell>
          <cell r="L1287">
            <v>0</v>
          </cell>
        </row>
        <row r="1288">
          <cell r="B1288" t="str">
            <v>SEKA37AC</v>
          </cell>
          <cell r="C1288" t="str">
            <v>Sekar Ayu Lestari</v>
          </cell>
          <cell r="D1288" t="str">
            <v>I Wayan Suarsa</v>
          </cell>
          <cell r="E1288" t="str">
            <v>Banjar Belangan, Kel. Belangan, Kec. Kintamani</v>
          </cell>
          <cell r="F1288" t="str">
            <v>Bangli</v>
          </cell>
          <cell r="G1288" t="str">
            <v>5106043004810001</v>
          </cell>
          <cell r="H1288" t="str">
            <v>000000000000000</v>
          </cell>
          <cell r="J1288">
            <v>0</v>
          </cell>
          <cell r="K1288">
            <v>0</v>
          </cell>
          <cell r="L1288">
            <v>0</v>
          </cell>
        </row>
        <row r="1289">
          <cell r="B1289" t="str">
            <v>MATO01AC</v>
          </cell>
          <cell r="C1289" t="str">
            <v>Sekar Tani/Matori</v>
          </cell>
          <cell r="D1289" t="str">
            <v>Supeno</v>
          </cell>
          <cell r="E1289" t="str">
            <v>Dusun Pontang Tengah, RT.048/RW.012, Kel. Pontang, Kec. Ambulu</v>
          </cell>
          <cell r="F1289" t="str">
            <v>Jember</v>
          </cell>
          <cell r="G1289" t="str">
            <v>3509121005580003</v>
          </cell>
          <cell r="H1289" t="str">
            <v>000000000000000</v>
          </cell>
          <cell r="I1289" t="str">
            <v>Per 2022 Tidak Pakai Acak (Lapor Pajak ), tp Per 16 Agustus 2022 mulai Tdk Lapor lg</v>
          </cell>
          <cell r="J1289">
            <v>110007999.9999512</v>
          </cell>
          <cell r="K1289">
            <v>0</v>
          </cell>
          <cell r="L1289">
            <v>110007999.9999512</v>
          </cell>
        </row>
        <row r="1290">
          <cell r="B1290" t="str">
            <v>MATO02AC</v>
          </cell>
          <cell r="C1290" t="str">
            <v>Sekar Tani/Matori</v>
          </cell>
          <cell r="D1290" t="str">
            <v>Mohammad Andris Novrianto</v>
          </cell>
          <cell r="E1290" t="str">
            <v>Dusun Tutul, RT.003/RW.025, Kel. Tegalsari, Kec. Ambulu</v>
          </cell>
          <cell r="F1290" t="str">
            <v>Jember</v>
          </cell>
          <cell r="G1290" t="str">
            <v>3509120811010003</v>
          </cell>
          <cell r="H1290" t="str">
            <v>000000000000000</v>
          </cell>
          <cell r="J1290">
            <v>90503999.999988601</v>
          </cell>
          <cell r="K1290">
            <v>0</v>
          </cell>
          <cell r="L1290">
            <v>90503999.999988601</v>
          </cell>
        </row>
        <row r="1291">
          <cell r="B1291" t="str">
            <v>MATO03AC</v>
          </cell>
          <cell r="C1291" t="str">
            <v>Sekar Tani/Matori</v>
          </cell>
          <cell r="D1291" t="str">
            <v>Edi Anroni</v>
          </cell>
          <cell r="E1291" t="str">
            <v>Dusun Krajan, RT.001/Rw.002, Kel. Andongsari, Kec. Ambulu</v>
          </cell>
          <cell r="F1291" t="str">
            <v>Jember</v>
          </cell>
          <cell r="G1291" t="str">
            <v>3509121002850005</v>
          </cell>
          <cell r="H1291" t="str">
            <v>000000000000000</v>
          </cell>
          <cell r="J1291">
            <v>111775999.99938101</v>
          </cell>
          <cell r="K1291">
            <v>0</v>
          </cell>
          <cell r="L1291">
            <v>111775999.99938101</v>
          </cell>
        </row>
        <row r="1292">
          <cell r="B1292" t="str">
            <v>MATO04AC</v>
          </cell>
          <cell r="C1292" t="str">
            <v>Sekar Tani/Matori</v>
          </cell>
          <cell r="D1292" t="str">
            <v>Ribut Sugiyanto</v>
          </cell>
          <cell r="E1292" t="str">
            <v>Dusun Langon, RT.003/RW.030, Kel. Ambulu, Kec. Ambulu</v>
          </cell>
          <cell r="F1292" t="str">
            <v>Jember</v>
          </cell>
          <cell r="G1292" t="str">
            <v>3509120504670002</v>
          </cell>
          <cell r="H1292" t="str">
            <v>000000000000000</v>
          </cell>
          <cell r="J1292">
            <v>130173119.99987108</v>
          </cell>
          <cell r="K1292">
            <v>0</v>
          </cell>
          <cell r="L1292">
            <v>130173119.99987108</v>
          </cell>
        </row>
        <row r="1293">
          <cell r="B1293" t="str">
            <v>MATO05AC</v>
          </cell>
          <cell r="C1293" t="str">
            <v>Sekar Tani/Matori</v>
          </cell>
          <cell r="D1293" t="str">
            <v>Ahmad Ajis</v>
          </cell>
          <cell r="E1293" t="str">
            <v>Dusun Krajan Lor, RT.002/RW.005, Kel. Sumberejo, Kec. Ambulu</v>
          </cell>
          <cell r="F1293" t="str">
            <v>Jember</v>
          </cell>
          <cell r="G1293" t="str">
            <v>3509123108980003</v>
          </cell>
          <cell r="H1293" t="str">
            <v>000000000000000</v>
          </cell>
          <cell r="J1293">
            <v>100251999.9999744</v>
          </cell>
          <cell r="K1293">
            <v>0</v>
          </cell>
          <cell r="L1293">
            <v>100251999.9999744</v>
          </cell>
        </row>
        <row r="1294">
          <cell r="B1294" t="str">
            <v>MATO08AC</v>
          </cell>
          <cell r="C1294" t="str">
            <v>Sekar Tani/Matori</v>
          </cell>
          <cell r="D1294" t="str">
            <v>Suhaji</v>
          </cell>
          <cell r="E1294" t="str">
            <v>Jl. Brawijaya, RW.017, Kel. Pontang, Kec. Ambulu</v>
          </cell>
          <cell r="F1294" t="str">
            <v>Jember</v>
          </cell>
          <cell r="G1294" t="str">
            <v>3509122401780001</v>
          </cell>
          <cell r="H1294" t="str">
            <v>000000000000000</v>
          </cell>
          <cell r="J1294">
            <v>85919999.9999616</v>
          </cell>
          <cell r="K1294">
            <v>0</v>
          </cell>
          <cell r="L1294">
            <v>85919999.9999616</v>
          </cell>
        </row>
        <row r="1295">
          <cell r="B1295" t="str">
            <v>MATO09AC</v>
          </cell>
          <cell r="C1295" t="str">
            <v>Sekar Tani/Matori</v>
          </cell>
          <cell r="D1295" t="str">
            <v>Paidi</v>
          </cell>
          <cell r="E1295" t="str">
            <v>Dusun Utara, RT.065/RW.017, Kel. Pontang, Kec. Ambulu</v>
          </cell>
          <cell r="F1295" t="str">
            <v>Jember</v>
          </cell>
          <cell r="G1295" t="str">
            <v>3509120911670001</v>
          </cell>
          <cell r="H1295" t="str">
            <v>000000000000000</v>
          </cell>
          <cell r="J1295">
            <v>95567999.999745607</v>
          </cell>
          <cell r="K1295">
            <v>0</v>
          </cell>
          <cell r="L1295">
            <v>95567999.999745607</v>
          </cell>
        </row>
        <row r="1296">
          <cell r="B1296" t="str">
            <v>ARIF01AC</v>
          </cell>
          <cell r="C1296" t="str">
            <v>Sido Makmur/Arif</v>
          </cell>
          <cell r="D1296" t="str">
            <v>Siti Aminah</v>
          </cell>
          <cell r="E1296" t="str">
            <v>Tulungagung</v>
          </cell>
          <cell r="F1296" t="str">
            <v>Tulungagung</v>
          </cell>
          <cell r="G1296" t="str">
            <v>3504134606670005</v>
          </cell>
          <cell r="H1296" t="str">
            <v>000000000000000</v>
          </cell>
          <cell r="I1296" t="str">
            <v>T acak</v>
          </cell>
          <cell r="J1296">
            <v>0</v>
          </cell>
          <cell r="K1296">
            <v>0</v>
          </cell>
          <cell r="L1296">
            <v>0</v>
          </cell>
        </row>
        <row r="1297">
          <cell r="B1297" t="str">
            <v>ARIF02AC</v>
          </cell>
          <cell r="C1297" t="str">
            <v>Sido Makmur/Arif</v>
          </cell>
          <cell r="D1297" t="str">
            <v>Karsani</v>
          </cell>
          <cell r="E1297" t="str">
            <v>Tulungagung</v>
          </cell>
          <cell r="F1297" t="str">
            <v>Tulungagung</v>
          </cell>
          <cell r="G1297" t="str">
            <v>3504131504680001</v>
          </cell>
          <cell r="H1297" t="str">
            <v>000000000000000</v>
          </cell>
          <cell r="J1297">
            <v>12399999.999854403</v>
          </cell>
          <cell r="K1297">
            <v>0</v>
          </cell>
          <cell r="L1297">
            <v>12399999.999854403</v>
          </cell>
        </row>
        <row r="1298">
          <cell r="B1298" t="str">
            <v>ARIF04AC</v>
          </cell>
          <cell r="C1298" t="str">
            <v>Sido Makmur/Arif</v>
          </cell>
          <cell r="D1298" t="str">
            <v>Nakip</v>
          </cell>
          <cell r="E1298" t="str">
            <v>Tulungagung</v>
          </cell>
          <cell r="F1298" t="str">
            <v>Tulungagung</v>
          </cell>
          <cell r="G1298" t="str">
            <v>3504130407770006</v>
          </cell>
          <cell r="H1298" t="str">
            <v>000000000000000</v>
          </cell>
          <cell r="J1298">
            <v>14279999.999844</v>
          </cell>
          <cell r="K1298">
            <v>0</v>
          </cell>
          <cell r="L1298">
            <v>14279999.999844</v>
          </cell>
        </row>
        <row r="1299">
          <cell r="B1299" t="str">
            <v>ARIF05AC</v>
          </cell>
          <cell r="C1299" t="str">
            <v>Sido Makmur/Arif</v>
          </cell>
          <cell r="D1299" t="str">
            <v>Sarbi</v>
          </cell>
          <cell r="E1299" t="str">
            <v>Tulungagung</v>
          </cell>
          <cell r="F1299" t="str">
            <v>Tulungagung</v>
          </cell>
          <cell r="G1299" t="str">
            <v>3504130207510001</v>
          </cell>
          <cell r="H1299" t="str">
            <v>000000000000000</v>
          </cell>
          <cell r="J1299">
            <v>9939999.9999659993</v>
          </cell>
          <cell r="K1299">
            <v>0</v>
          </cell>
          <cell r="L1299">
            <v>9939999.9999659993</v>
          </cell>
        </row>
        <row r="1300">
          <cell r="B1300" t="str">
            <v>ARIF06AC</v>
          </cell>
          <cell r="C1300" t="str">
            <v>Sido Makmur/Arif</v>
          </cell>
          <cell r="D1300" t="str">
            <v>Karni</v>
          </cell>
          <cell r="E1300" t="str">
            <v>Tulungagung</v>
          </cell>
          <cell r="F1300" t="str">
            <v>Tulungagung</v>
          </cell>
          <cell r="G1300" t="str">
            <v>3504130101660009</v>
          </cell>
          <cell r="H1300" t="str">
            <v>000000000000000</v>
          </cell>
          <cell r="J1300">
            <v>13375999.9999444</v>
          </cell>
          <cell r="K1300">
            <v>0</v>
          </cell>
          <cell r="L1300">
            <v>13375999.9999444</v>
          </cell>
        </row>
        <row r="1301">
          <cell r="B1301" t="str">
            <v>ARIF07AC</v>
          </cell>
          <cell r="C1301" t="str">
            <v>Sido Makmur/Arif</v>
          </cell>
          <cell r="D1301" t="str">
            <v>Musali</v>
          </cell>
          <cell r="E1301" t="str">
            <v>Tulungagung</v>
          </cell>
          <cell r="F1301" t="str">
            <v>Tulungagung</v>
          </cell>
          <cell r="G1301" t="str">
            <v>3504120107520001</v>
          </cell>
          <cell r="H1301" t="str">
            <v>000000000000000</v>
          </cell>
          <cell r="J1301">
            <v>2580000</v>
          </cell>
          <cell r="K1301">
            <v>0</v>
          </cell>
          <cell r="L1301">
            <v>2580000</v>
          </cell>
        </row>
        <row r="1302">
          <cell r="B1302" t="str">
            <v>ARIF08AC</v>
          </cell>
          <cell r="C1302" t="str">
            <v>Sido Makmur/Arif</v>
          </cell>
          <cell r="D1302" t="str">
            <v>Tukiran</v>
          </cell>
          <cell r="E1302" t="str">
            <v>Tulungagung</v>
          </cell>
          <cell r="F1302" t="str">
            <v>Tulungagung</v>
          </cell>
          <cell r="G1302" t="str">
            <v>3504132508580001</v>
          </cell>
          <cell r="H1302" t="str">
            <v>000000000000000</v>
          </cell>
          <cell r="J1302">
            <v>15600000</v>
          </cell>
          <cell r="K1302">
            <v>0</v>
          </cell>
          <cell r="L1302">
            <v>15600000</v>
          </cell>
        </row>
        <row r="1303">
          <cell r="B1303" t="str">
            <v>ARIF09AC</v>
          </cell>
          <cell r="C1303" t="str">
            <v>Sido Makmur/Arif</v>
          </cell>
          <cell r="D1303" t="str">
            <v>Katiyah</v>
          </cell>
          <cell r="E1303" t="str">
            <v>Tulungagung</v>
          </cell>
          <cell r="F1303" t="str">
            <v>Tulungagung</v>
          </cell>
          <cell r="G1303" t="str">
            <v>3504136305560001</v>
          </cell>
          <cell r="H1303" t="str">
            <v>000000000000000</v>
          </cell>
          <cell r="J1303">
            <v>13600000</v>
          </cell>
          <cell r="K1303">
            <v>0</v>
          </cell>
          <cell r="L1303">
            <v>13600000</v>
          </cell>
        </row>
        <row r="1304">
          <cell r="B1304" t="str">
            <v>ARIF10AC</v>
          </cell>
          <cell r="C1304" t="str">
            <v>Sido Makmur/Arif</v>
          </cell>
          <cell r="D1304" t="str">
            <v>Sarno</v>
          </cell>
          <cell r="E1304" t="str">
            <v>Tulungagung</v>
          </cell>
          <cell r="F1304" t="str">
            <v>Tulungagung</v>
          </cell>
          <cell r="G1304" t="str">
            <v>3504132512550002</v>
          </cell>
          <cell r="H1304" t="str">
            <v>000000000000000</v>
          </cell>
          <cell r="J1304">
            <v>20280000</v>
          </cell>
          <cell r="K1304">
            <v>0</v>
          </cell>
          <cell r="L1304">
            <v>20280000</v>
          </cell>
        </row>
        <row r="1305">
          <cell r="B1305" t="str">
            <v>ARIF11AC</v>
          </cell>
          <cell r="C1305" t="str">
            <v>Sido Makmur/Arif</v>
          </cell>
          <cell r="D1305" t="str">
            <v>Dori Santoso</v>
          </cell>
          <cell r="E1305" t="str">
            <v>Tulungagung</v>
          </cell>
          <cell r="F1305" t="str">
            <v>Tulungagung</v>
          </cell>
          <cell r="G1305" t="str">
            <v>3504132810740004</v>
          </cell>
          <cell r="H1305" t="str">
            <v>000000000000000</v>
          </cell>
          <cell r="J1305">
            <v>7648000</v>
          </cell>
          <cell r="K1305">
            <v>0</v>
          </cell>
          <cell r="L1305">
            <v>7648000</v>
          </cell>
        </row>
        <row r="1306">
          <cell r="B1306" t="str">
            <v>ARIF13AC</v>
          </cell>
          <cell r="C1306" t="str">
            <v>Sido Makmur/Arif</v>
          </cell>
          <cell r="D1306" t="str">
            <v>Ginah</v>
          </cell>
          <cell r="E1306" t="str">
            <v>Tulungagung</v>
          </cell>
          <cell r="F1306" t="str">
            <v>Tulungagung</v>
          </cell>
          <cell r="G1306" t="str">
            <v>3504134107580003</v>
          </cell>
          <cell r="H1306" t="str">
            <v>000000000000000</v>
          </cell>
          <cell r="J1306">
            <v>8728000</v>
          </cell>
          <cell r="K1306">
            <v>0</v>
          </cell>
          <cell r="L1306">
            <v>8728000</v>
          </cell>
        </row>
        <row r="1307">
          <cell r="B1307" t="str">
            <v>ARIF14AC</v>
          </cell>
          <cell r="C1307" t="str">
            <v>Sido Makmur/Arif</v>
          </cell>
          <cell r="D1307" t="str">
            <v>Klutuk</v>
          </cell>
          <cell r="E1307" t="str">
            <v>Tulungagung</v>
          </cell>
          <cell r="F1307" t="str">
            <v>Tulungagung</v>
          </cell>
          <cell r="G1307" t="str">
            <v>3504132210650002</v>
          </cell>
          <cell r="H1307" t="str">
            <v>000000000000000</v>
          </cell>
          <cell r="J1307">
            <v>0</v>
          </cell>
          <cell r="K1307">
            <v>0</v>
          </cell>
          <cell r="L1307">
            <v>0</v>
          </cell>
        </row>
        <row r="1308">
          <cell r="B1308" t="str">
            <v>ARIF15AC</v>
          </cell>
          <cell r="C1308" t="str">
            <v>Sido Makmur/Arif</v>
          </cell>
          <cell r="D1308" t="str">
            <v>Suraji</v>
          </cell>
          <cell r="E1308" t="str">
            <v>Tulungagung</v>
          </cell>
          <cell r="F1308" t="str">
            <v>Tulungagung</v>
          </cell>
          <cell r="G1308" t="str">
            <v>3504130505690006</v>
          </cell>
          <cell r="H1308" t="str">
            <v>000000000000000</v>
          </cell>
          <cell r="J1308">
            <v>0</v>
          </cell>
          <cell r="K1308">
            <v>0</v>
          </cell>
          <cell r="L1308">
            <v>0</v>
          </cell>
        </row>
        <row r="1309">
          <cell r="B1309" t="str">
            <v>ARIF16AC</v>
          </cell>
          <cell r="C1309" t="str">
            <v>Sido Makmur/Arif</v>
          </cell>
          <cell r="D1309" t="str">
            <v>Slamet</v>
          </cell>
          <cell r="E1309" t="str">
            <v>Tulungagung</v>
          </cell>
          <cell r="F1309" t="str">
            <v>Tulungagung</v>
          </cell>
          <cell r="G1309" t="str">
            <v>3504132802480001</v>
          </cell>
          <cell r="H1309" t="str">
            <v>000000000000000</v>
          </cell>
          <cell r="J1309">
            <v>0</v>
          </cell>
          <cell r="K1309">
            <v>0</v>
          </cell>
          <cell r="L1309">
            <v>0</v>
          </cell>
        </row>
        <row r="1310">
          <cell r="B1310" t="str">
            <v>SINA01AC</v>
          </cell>
          <cell r="C1310" t="str">
            <v>Sinar Harapan</v>
          </cell>
          <cell r="D1310" t="str">
            <v>Ernawati</v>
          </cell>
          <cell r="E1310" t="str">
            <v>Sumbergandu, RT.013/RW.002, kel. Sumbergandu, Kec. Pilangkenceng</v>
          </cell>
          <cell r="F1310" t="str">
            <v>Madiun</v>
          </cell>
          <cell r="G1310" t="str">
            <v>3519134108740001</v>
          </cell>
          <cell r="H1310" t="str">
            <v>000000000000000</v>
          </cell>
          <cell r="J1310">
            <v>0</v>
          </cell>
          <cell r="K1310">
            <v>0</v>
          </cell>
          <cell r="L1310">
            <v>0</v>
          </cell>
        </row>
        <row r="1311">
          <cell r="B1311" t="str">
            <v>SINA02AC</v>
          </cell>
          <cell r="C1311" t="str">
            <v>Sinar Harapan</v>
          </cell>
          <cell r="D1311" t="str">
            <v>Sri Widayati</v>
          </cell>
          <cell r="E1311" t="str">
            <v>Sumbergandu, RT.017/RW.003, kel. Sumbergandu, Kec. Pilangkenceng</v>
          </cell>
          <cell r="F1311" t="str">
            <v>Madiun</v>
          </cell>
          <cell r="G1311" t="str">
            <v>3519136702700001</v>
          </cell>
          <cell r="H1311" t="str">
            <v>000000000000000</v>
          </cell>
          <cell r="J1311">
            <v>0</v>
          </cell>
          <cell r="K1311">
            <v>0</v>
          </cell>
          <cell r="L1311">
            <v>0</v>
          </cell>
        </row>
        <row r="1312">
          <cell r="B1312" t="str">
            <v>SINA03AC</v>
          </cell>
          <cell r="C1312" t="str">
            <v>Sinar Harapan</v>
          </cell>
          <cell r="D1312" t="str">
            <v>Ufiz Laisa Annafi</v>
          </cell>
          <cell r="E1312" t="str">
            <v>Jl. Trengguli No.23, RT.005/RW.001, kel. Oro-oro Ombo, Kec. Kartoharjo</v>
          </cell>
          <cell r="F1312" t="str">
            <v>Madiun</v>
          </cell>
          <cell r="G1312" t="str">
            <v>3577014311940003</v>
          </cell>
          <cell r="H1312" t="str">
            <v>000000000000000</v>
          </cell>
          <cell r="J1312">
            <v>0</v>
          </cell>
          <cell r="K1312">
            <v>0</v>
          </cell>
          <cell r="L1312">
            <v>0</v>
          </cell>
        </row>
        <row r="1313">
          <cell r="B1313" t="str">
            <v>MAKM01AC</v>
          </cell>
          <cell r="C1313" t="str">
            <v>Sugeng Makmur, Toko</v>
          </cell>
          <cell r="D1313" t="str">
            <v>Anton Sutrisno</v>
          </cell>
          <cell r="E1313" t="str">
            <v>Dusun Krajan, RT.001/RW.009, Kel. Mojomulyo, Kec. Puger</v>
          </cell>
          <cell r="F1313" t="str">
            <v>Jember</v>
          </cell>
          <cell r="G1313" t="str">
            <v>3509081710940002</v>
          </cell>
          <cell r="H1313" t="str">
            <v>000000000000000</v>
          </cell>
          <cell r="J1313">
            <v>65556879.999860302</v>
          </cell>
          <cell r="K1313">
            <v>0</v>
          </cell>
          <cell r="L1313">
            <v>65556879.999860302</v>
          </cell>
        </row>
        <row r="1314">
          <cell r="B1314" t="str">
            <v>MAKM03AC</v>
          </cell>
          <cell r="C1314" t="str">
            <v>Sugeng Makmur, Toko</v>
          </cell>
          <cell r="D1314" t="str">
            <v>Fenty Lailatun Nisa</v>
          </cell>
          <cell r="E1314" t="str">
            <v>Dsn. Kapitan, RT.002/RW.001, Kel. Menampu, Kec. Gumuk Mas</v>
          </cell>
          <cell r="F1314" t="str">
            <v>Jember</v>
          </cell>
          <cell r="G1314" t="str">
            <v>3509045003920007</v>
          </cell>
          <cell r="H1314" t="str">
            <v>000000000000000</v>
          </cell>
          <cell r="J1314">
            <v>46075200</v>
          </cell>
          <cell r="K1314">
            <v>0</v>
          </cell>
          <cell r="L1314">
            <v>46075200</v>
          </cell>
        </row>
        <row r="1315">
          <cell r="B1315" t="str">
            <v>MAKM05AC</v>
          </cell>
          <cell r="C1315" t="str">
            <v>Sugeng Makmur, Toko</v>
          </cell>
          <cell r="D1315" t="str">
            <v>Kumboyono</v>
          </cell>
          <cell r="E1315" t="str">
            <v>Menampu, RT.001/RW.016, Kel. Menampu, Kec. Gumuk Mas</v>
          </cell>
          <cell r="F1315" t="str">
            <v>Jember</v>
          </cell>
          <cell r="G1315" t="str">
            <v>3509040105640002</v>
          </cell>
          <cell r="H1315" t="str">
            <v>000000000000000</v>
          </cell>
          <cell r="J1315">
            <v>27303999.999931499</v>
          </cell>
          <cell r="K1315">
            <v>0</v>
          </cell>
          <cell r="L1315">
            <v>27303999.999931499</v>
          </cell>
        </row>
        <row r="1316">
          <cell r="B1316" t="str">
            <v>MAKM06AC</v>
          </cell>
          <cell r="C1316" t="str">
            <v>Sugeng Makmur, Toko</v>
          </cell>
          <cell r="D1316" t="str">
            <v>Sriati</v>
          </cell>
          <cell r="E1316" t="str">
            <v>Dusun Kapitan, RT.001/RW.016, Kel. Menampu, Kec. Gumuk Mas</v>
          </cell>
          <cell r="F1316" t="str">
            <v>Jember</v>
          </cell>
          <cell r="G1316" t="str">
            <v>3509044107630328</v>
          </cell>
          <cell r="H1316" t="str">
            <v>000000000000000</v>
          </cell>
          <cell r="J1316">
            <v>47087999.999986395</v>
          </cell>
          <cell r="K1316">
            <v>1520000</v>
          </cell>
          <cell r="L1316">
            <v>48607999.999986395</v>
          </cell>
        </row>
        <row r="1317">
          <cell r="B1317" t="str">
            <v>MAKM07AC</v>
          </cell>
          <cell r="C1317" t="str">
            <v>Sugeng Makmur, Toko</v>
          </cell>
          <cell r="D1317" t="str">
            <v>Rofiatun</v>
          </cell>
          <cell r="E1317" t="str">
            <v>Dusun Kapitan, RT.002/RW.015, Kel. Menampu, Kec. Gumuk Mas</v>
          </cell>
          <cell r="F1317" t="str">
            <v>Jember</v>
          </cell>
          <cell r="G1317" t="str">
            <v>3509046501700001</v>
          </cell>
          <cell r="H1317" t="str">
            <v>000000000000000</v>
          </cell>
          <cell r="J1317">
            <v>41411999.999953598</v>
          </cell>
          <cell r="K1317">
            <v>1260000</v>
          </cell>
          <cell r="L1317">
            <v>42671999.999953598</v>
          </cell>
        </row>
        <row r="1318">
          <cell r="B1318" t="str">
            <v>MAKM08AC</v>
          </cell>
          <cell r="C1318" t="str">
            <v>Sugeng Makmur, Toko</v>
          </cell>
          <cell r="D1318" t="str">
            <v>Tulkan</v>
          </cell>
          <cell r="E1318" t="str">
            <v>Dusun Kapitan, RT.002/RW.015, Kel. Menampu, Kec. Gumuk Mas</v>
          </cell>
          <cell r="F1318" t="str">
            <v>Jember</v>
          </cell>
          <cell r="G1318" t="str">
            <v>3509040108690003</v>
          </cell>
          <cell r="H1318" t="str">
            <v>000000000000000</v>
          </cell>
          <cell r="J1318">
            <v>68240000</v>
          </cell>
          <cell r="K1318">
            <v>0</v>
          </cell>
          <cell r="L1318">
            <v>68240000</v>
          </cell>
        </row>
        <row r="1319">
          <cell r="B1319" t="str">
            <v>MAKM09AC</v>
          </cell>
          <cell r="C1319" t="str">
            <v>Sugeng Makmur, Toko</v>
          </cell>
          <cell r="D1319" t="str">
            <v>Suarno</v>
          </cell>
          <cell r="E1319" t="str">
            <v>Dusun Kedung Lengkong, RT.001/RW.009, Kel. Menampu, Kec. Gumukmas</v>
          </cell>
          <cell r="F1319" t="str">
            <v>Jember</v>
          </cell>
          <cell r="G1319" t="str">
            <v>3509040107630190</v>
          </cell>
          <cell r="H1319" t="str">
            <v>000000000000000</v>
          </cell>
          <cell r="J1319">
            <v>65369999.999962799</v>
          </cell>
          <cell r="K1319">
            <v>0</v>
          </cell>
          <cell r="L1319">
            <v>65369999.999962799</v>
          </cell>
        </row>
        <row r="1320">
          <cell r="B1320" t="str">
            <v>MAKM10AC</v>
          </cell>
          <cell r="C1320" t="str">
            <v>Sugeng Makmur, Toko</v>
          </cell>
          <cell r="D1320" t="str">
            <v>Moh. Acang Muhakam</v>
          </cell>
          <cell r="E1320" t="str">
            <v>Dusun Karangsono, RT.002/RW.003, Kel. Grenden, Kec. Puger</v>
          </cell>
          <cell r="F1320" t="str">
            <v>Jember</v>
          </cell>
          <cell r="G1320" t="str">
            <v>3509041506840002</v>
          </cell>
          <cell r="H1320" t="str">
            <v>000000000000000</v>
          </cell>
          <cell r="J1320">
            <v>70592000</v>
          </cell>
          <cell r="K1320">
            <v>0</v>
          </cell>
          <cell r="L1320">
            <v>70592000</v>
          </cell>
        </row>
        <row r="1321">
          <cell r="B1321" t="str">
            <v>MAKM11AC</v>
          </cell>
          <cell r="C1321" t="str">
            <v>Sugeng Makmur, Toko</v>
          </cell>
          <cell r="D1321" t="str">
            <v>Marno</v>
          </cell>
          <cell r="E1321" t="str">
            <v>Dusun Kapitan, RT.001/RW.018, Kel. Menampu, Kec. Gumuk Mas</v>
          </cell>
          <cell r="F1321" t="str">
            <v>Jember</v>
          </cell>
          <cell r="G1321" t="str">
            <v>3509040107550060</v>
          </cell>
          <cell r="H1321" t="str">
            <v>000000000000000</v>
          </cell>
          <cell r="J1321">
            <v>88248000</v>
          </cell>
          <cell r="K1321">
            <v>0</v>
          </cell>
          <cell r="L1321">
            <v>88248000</v>
          </cell>
        </row>
        <row r="1322">
          <cell r="B1322" t="str">
            <v>MAKM12AC</v>
          </cell>
          <cell r="C1322" t="str">
            <v>Sugeng Makmur, Toko</v>
          </cell>
          <cell r="D1322" t="str">
            <v>Lukman Hakim</v>
          </cell>
          <cell r="E1322" t="str">
            <v>Dusun Kapitan, RT.001/RW.015, Kel. Menampu, Kec. Gumuk Mas</v>
          </cell>
          <cell r="F1322" t="str">
            <v>Jember</v>
          </cell>
          <cell r="G1322" t="str">
            <v>3509040609860002</v>
          </cell>
          <cell r="H1322" t="str">
            <v>000000000000000</v>
          </cell>
          <cell r="J1322">
            <v>66600000</v>
          </cell>
          <cell r="K1322">
            <v>0</v>
          </cell>
          <cell r="L1322">
            <v>66600000</v>
          </cell>
        </row>
        <row r="1323">
          <cell r="B1323" t="str">
            <v>MAKM14AC</v>
          </cell>
          <cell r="C1323" t="str">
            <v>Sugeng Makmur, Toko</v>
          </cell>
          <cell r="D1323" t="str">
            <v>Ida Faridah</v>
          </cell>
          <cell r="E1323" t="str">
            <v>Dusun Kapitan, RT.001/RW.018, Kel. Menampu, Kec. Gumuk Mas</v>
          </cell>
          <cell r="F1323" t="str">
            <v>Jember</v>
          </cell>
          <cell r="G1323" t="str">
            <v>3509044504860007</v>
          </cell>
          <cell r="H1323" t="str">
            <v>000000000000000</v>
          </cell>
          <cell r="J1323">
            <v>46736799.999187998</v>
          </cell>
          <cell r="K1323">
            <v>0</v>
          </cell>
          <cell r="L1323">
            <v>46736799.999187998</v>
          </cell>
        </row>
        <row r="1324">
          <cell r="B1324" t="str">
            <v>MAKM15AC</v>
          </cell>
          <cell r="C1324" t="str">
            <v>Sugeng Makmur, Toko</v>
          </cell>
          <cell r="D1324" t="str">
            <v>Sanikem</v>
          </cell>
          <cell r="E1324" t="str">
            <v>Menampu, RT.002/RW.016, Kel. Menampu, Kec. Gumuk Mas</v>
          </cell>
          <cell r="F1324" t="str">
            <v>Jember</v>
          </cell>
          <cell r="G1324" t="str">
            <v>3509045004550002</v>
          </cell>
          <cell r="H1324" t="str">
            <v>000000000000000</v>
          </cell>
          <cell r="J1324">
            <v>32912000</v>
          </cell>
          <cell r="K1324">
            <v>0</v>
          </cell>
          <cell r="L1324">
            <v>32912000</v>
          </cell>
        </row>
        <row r="1325">
          <cell r="B1325" t="str">
            <v>MAKM17AC</v>
          </cell>
          <cell r="C1325" t="str">
            <v>Sugeng Makmur, Toko</v>
          </cell>
          <cell r="D1325" t="str">
            <v>M. Nur Cholis</v>
          </cell>
          <cell r="E1325" t="str">
            <v>Dusun Kapitan, RT.001/RW.015, Kel. Menampu, Kec. Gumuk Mas</v>
          </cell>
          <cell r="F1325" t="str">
            <v>Jember</v>
          </cell>
          <cell r="G1325" t="str">
            <v>3509041605760004</v>
          </cell>
          <cell r="H1325" t="str">
            <v>000000000000000</v>
          </cell>
          <cell r="J1325">
            <v>32912000</v>
          </cell>
          <cell r="K1325">
            <v>0</v>
          </cell>
          <cell r="L1325">
            <v>32912000</v>
          </cell>
        </row>
        <row r="1326">
          <cell r="B1326" t="str">
            <v>MAKM18AC</v>
          </cell>
          <cell r="C1326" t="str">
            <v>Sugeng Makmur, Toko</v>
          </cell>
          <cell r="D1326" t="str">
            <v>Rohani</v>
          </cell>
          <cell r="E1326" t="str">
            <v>Dusun Kapitan, RT.002/RW.018, Kel. Menampu, Kec. Gumuk Mas</v>
          </cell>
          <cell r="F1326" t="str">
            <v>Jember</v>
          </cell>
          <cell r="G1326" t="str">
            <v>3509040107680257</v>
          </cell>
          <cell r="H1326" t="str">
            <v>000000000000000</v>
          </cell>
          <cell r="J1326">
            <v>32912000</v>
          </cell>
          <cell r="K1326">
            <v>0</v>
          </cell>
          <cell r="L1326">
            <v>32912000</v>
          </cell>
        </row>
        <row r="1327">
          <cell r="B1327" t="str">
            <v>MAKM19AC</v>
          </cell>
          <cell r="C1327" t="str">
            <v>Sugeng Makmur, Toko</v>
          </cell>
          <cell r="D1327" t="str">
            <v>Junaidah</v>
          </cell>
          <cell r="E1327" t="str">
            <v>Dusun Kapitan, RT.001/RW.015, Kel. Menampu, Kec. Gumuk Mas</v>
          </cell>
          <cell r="F1327" t="str">
            <v>Jember</v>
          </cell>
          <cell r="G1327" t="str">
            <v>3509044309680005</v>
          </cell>
          <cell r="H1327" t="str">
            <v>000000000000000</v>
          </cell>
          <cell r="J1327">
            <v>32912000</v>
          </cell>
          <cell r="K1327">
            <v>0</v>
          </cell>
          <cell r="L1327">
            <v>32912000</v>
          </cell>
        </row>
        <row r="1328">
          <cell r="B1328" t="str">
            <v>MAKM20AC</v>
          </cell>
          <cell r="C1328" t="str">
            <v>Sugeng Makmur, Toko</v>
          </cell>
          <cell r="D1328" t="str">
            <v>Muhammad Sholeh</v>
          </cell>
          <cell r="E1328" t="str">
            <v>Dusun Kapitan, RT.002/RW.018, Kel. Menampu, Kec. Gumuk Mas</v>
          </cell>
          <cell r="F1328" t="str">
            <v>Jember</v>
          </cell>
          <cell r="G1328" t="str">
            <v>3509040307690001</v>
          </cell>
          <cell r="H1328" t="str">
            <v>000000000000000</v>
          </cell>
          <cell r="J1328">
            <v>19328000</v>
          </cell>
          <cell r="K1328">
            <v>0</v>
          </cell>
          <cell r="L1328">
            <v>19328000</v>
          </cell>
        </row>
        <row r="1329">
          <cell r="B1329" t="str">
            <v>MAKM21AC</v>
          </cell>
          <cell r="C1329" t="str">
            <v>Sugeng Makmur, Toko</v>
          </cell>
          <cell r="D1329" t="str">
            <v>Mualim</v>
          </cell>
          <cell r="E1329" t="str">
            <v>Dusun Kapitan, RT.001/RW.002, Kel. Menampu, Kec. Gumuk Mas</v>
          </cell>
          <cell r="F1329" t="str">
            <v>Jember</v>
          </cell>
          <cell r="G1329" t="str">
            <v>3509040107750165</v>
          </cell>
          <cell r="H1329" t="str">
            <v>000000000000000</v>
          </cell>
          <cell r="J1329">
            <v>10464000</v>
          </cell>
          <cell r="K1329">
            <v>0</v>
          </cell>
          <cell r="L1329">
            <v>10464000</v>
          </cell>
        </row>
        <row r="1330">
          <cell r="B1330" t="str">
            <v>MAKM22AC</v>
          </cell>
          <cell r="C1330" t="str">
            <v>Sugeng Makmur, Toko</v>
          </cell>
          <cell r="D1330" t="str">
            <v>Utfiah</v>
          </cell>
          <cell r="E1330" t="str">
            <v>Jl. Puger 29, Dusun Menampu, RT.001/RW.015, Kel. Menampu, Kec. Gumuk Mas</v>
          </cell>
          <cell r="F1330" t="str">
            <v>Jember</v>
          </cell>
          <cell r="G1330" t="str">
            <v>3509066101830001</v>
          </cell>
          <cell r="H1330" t="str">
            <v>000000000000000</v>
          </cell>
          <cell r="J1330">
            <v>18544000</v>
          </cell>
          <cell r="K1330">
            <v>0</v>
          </cell>
          <cell r="L1330">
            <v>18544000</v>
          </cell>
        </row>
        <row r="1331">
          <cell r="B1331" t="str">
            <v>MAKM23AC</v>
          </cell>
          <cell r="C1331" t="str">
            <v>Sugeng Makmur, Toko</v>
          </cell>
          <cell r="D1331" t="str">
            <v>Budi Wahono</v>
          </cell>
          <cell r="E1331" t="str">
            <v>Dusun Kapitan, RT.001/RW.016, Kel. Menampu, Kec. Gumuk Mas</v>
          </cell>
          <cell r="F1331" t="str">
            <v>Jember</v>
          </cell>
          <cell r="G1331" t="str">
            <v>3509040409710002</v>
          </cell>
          <cell r="H1331" t="str">
            <v>000000000000000</v>
          </cell>
          <cell r="J1331">
            <v>18668000.000000007</v>
          </cell>
          <cell r="K1331">
            <v>0</v>
          </cell>
          <cell r="L1331">
            <v>18668000.000000007</v>
          </cell>
        </row>
        <row r="1332">
          <cell r="B1332" t="str">
            <v>MAKM24AC</v>
          </cell>
          <cell r="C1332" t="str">
            <v>Sugeng Makmur, Toko</v>
          </cell>
          <cell r="D1332" t="str">
            <v>Mispan</v>
          </cell>
          <cell r="E1332" t="str">
            <v>Dusun Kapitan, RT.002/RW.016, Kel. Menampu, Kec. Gumuk Mas</v>
          </cell>
          <cell r="F1332" t="str">
            <v>Jember</v>
          </cell>
          <cell r="G1332" t="str">
            <v>3509040305500007</v>
          </cell>
          <cell r="H1332" t="str">
            <v>000000000000000</v>
          </cell>
          <cell r="J1332">
            <v>10464000</v>
          </cell>
          <cell r="K1332">
            <v>0</v>
          </cell>
          <cell r="L1332">
            <v>10464000</v>
          </cell>
        </row>
        <row r="1333">
          <cell r="B1333" t="str">
            <v>MAKM25AC</v>
          </cell>
          <cell r="C1333" t="str">
            <v>Sugeng Makmur, Toko</v>
          </cell>
          <cell r="D1333" t="str">
            <v>Nur Husen Ar</v>
          </cell>
          <cell r="E1333" t="str">
            <v>Dusun Bendorejo, RT.002/RW.012, Kel. Karangrejo, Kec. Gumuk Mas</v>
          </cell>
          <cell r="F1333" t="str">
            <v>Jember</v>
          </cell>
          <cell r="G1333" t="str">
            <v>3509041003730004</v>
          </cell>
          <cell r="H1333" t="str">
            <v>000000000000000</v>
          </cell>
          <cell r="J1333">
            <v>40880000</v>
          </cell>
          <cell r="K1333">
            <v>0</v>
          </cell>
          <cell r="L1333">
            <v>40880000</v>
          </cell>
        </row>
        <row r="1334">
          <cell r="B1334" t="str">
            <v>MAKM26AC</v>
          </cell>
          <cell r="C1334" t="str">
            <v>Sugeng Makmur, Toko</v>
          </cell>
          <cell r="D1334" t="str">
            <v>Maryam</v>
          </cell>
          <cell r="E1334" t="str">
            <v>Dusun Kapitan, RT.002/RW.018, Kel. Menampu, Kec. Gumuk Mas</v>
          </cell>
          <cell r="F1334" t="str">
            <v>Jember</v>
          </cell>
          <cell r="G1334" t="str">
            <v>3509044212420001</v>
          </cell>
          <cell r="H1334" t="str">
            <v>000000000000000</v>
          </cell>
          <cell r="J1334">
            <v>18240000</v>
          </cell>
          <cell r="K1334">
            <v>0</v>
          </cell>
          <cell r="L1334">
            <v>18240000</v>
          </cell>
        </row>
        <row r="1335">
          <cell r="B1335" t="str">
            <v>MAKM27AC</v>
          </cell>
          <cell r="C1335" t="str">
            <v>Sugeng Makmur, Toko</v>
          </cell>
          <cell r="D1335" t="str">
            <v>Sukardi</v>
          </cell>
          <cell r="E1335" t="str">
            <v>Dusun Kapitan, RT.002/RW.016, Kel. Menampu, Kec. Gumuk Mas</v>
          </cell>
          <cell r="F1335" t="str">
            <v>Jember</v>
          </cell>
          <cell r="G1335" t="str">
            <v>3509042506600001</v>
          </cell>
          <cell r="H1335" t="str">
            <v>000000000000000</v>
          </cell>
          <cell r="J1335">
            <v>2172000</v>
          </cell>
          <cell r="K1335">
            <v>0</v>
          </cell>
          <cell r="L1335">
            <v>2172000</v>
          </cell>
        </row>
        <row r="1336">
          <cell r="B1336" t="str">
            <v>MAKM28AC</v>
          </cell>
          <cell r="C1336" t="str">
            <v>Sugeng Makmur, Toko</v>
          </cell>
          <cell r="D1336" t="str">
            <v>Mat Lubi</v>
          </cell>
          <cell r="E1336" t="str">
            <v>Dusun Kapitan, RT.002/RW.001, Kel. Menampu, Kec. Gumuk Mas</v>
          </cell>
          <cell r="F1336" t="str">
            <v>Jember</v>
          </cell>
          <cell r="G1336" t="str">
            <v>3509040208750005</v>
          </cell>
          <cell r="H1336" t="str">
            <v>000000000000000</v>
          </cell>
          <cell r="J1336">
            <v>18192000</v>
          </cell>
          <cell r="K1336">
            <v>0</v>
          </cell>
          <cell r="L1336">
            <v>18192000</v>
          </cell>
        </row>
        <row r="1337">
          <cell r="B1337" t="str">
            <v>MAKM29AC</v>
          </cell>
          <cell r="C1337" t="str">
            <v>Sugeng Makmur, Toko</v>
          </cell>
          <cell r="D1337" t="str">
            <v>Mohamad Rafli Agatha</v>
          </cell>
          <cell r="E1337" t="str">
            <v>Dusun Kapitan, RT.001/RW.017, Kel. Menampu, Kec. Gumuk Mas</v>
          </cell>
          <cell r="F1337" t="str">
            <v>Jember</v>
          </cell>
          <cell r="G1337" t="str">
            <v>3509040905030003</v>
          </cell>
          <cell r="H1337" t="str">
            <v>000000000000000</v>
          </cell>
          <cell r="J1337">
            <v>10880000</v>
          </cell>
          <cell r="K1337">
            <v>0</v>
          </cell>
          <cell r="L1337">
            <v>10880000</v>
          </cell>
        </row>
        <row r="1338">
          <cell r="B1338" t="str">
            <v>MAKM30AC</v>
          </cell>
          <cell r="C1338" t="str">
            <v>Sugeng Makmur, Toko</v>
          </cell>
          <cell r="D1338" t="str">
            <v>Muti'ah</v>
          </cell>
          <cell r="E1338" t="str">
            <v>Dusun Bendorejo, RT.003/RW.012, Kel. Karangrejo, Kec. Gumuk Mas</v>
          </cell>
          <cell r="F1338" t="str">
            <v>Jember</v>
          </cell>
          <cell r="G1338" t="str">
            <v>3509046012710001</v>
          </cell>
          <cell r="H1338" t="str">
            <v>000000000000000</v>
          </cell>
          <cell r="J1338">
            <v>10880000</v>
          </cell>
          <cell r="K1338">
            <v>0</v>
          </cell>
          <cell r="L1338">
            <v>10880000</v>
          </cell>
        </row>
        <row r="1339">
          <cell r="B1339" t="str">
            <v>MAKM31AC</v>
          </cell>
          <cell r="C1339" t="str">
            <v>Sugeng Makmur, Toko</v>
          </cell>
          <cell r="D1339" t="str">
            <v>Moh. Rosyidin</v>
          </cell>
          <cell r="E1339" t="str">
            <v>Dusun Tanjung Sari, RT.029/RW.010, Kel. Glundengan, Kec. Wuluhan</v>
          </cell>
          <cell r="F1339" t="str">
            <v>Jember</v>
          </cell>
          <cell r="G1339" t="str">
            <v>3509040912900001</v>
          </cell>
          <cell r="H1339" t="str">
            <v>000000000000000</v>
          </cell>
          <cell r="J1339">
            <v>10880000</v>
          </cell>
          <cell r="K1339">
            <v>0</v>
          </cell>
          <cell r="L1339">
            <v>10880000</v>
          </cell>
        </row>
        <row r="1340">
          <cell r="B1340" t="str">
            <v>MAKM32AC</v>
          </cell>
          <cell r="C1340" t="str">
            <v>Sugeng Makmur, Toko</v>
          </cell>
          <cell r="D1340" t="str">
            <v>Maisaroh Solihin</v>
          </cell>
          <cell r="E1340" t="str">
            <v>Dusun Kapitan, RT.002/RW.015, Kel. Menampu, Kec. Gumuk Mas</v>
          </cell>
          <cell r="F1340" t="str">
            <v>Jember</v>
          </cell>
          <cell r="G1340" t="str">
            <v>3509044502730003</v>
          </cell>
          <cell r="H1340" t="str">
            <v>000000000000000</v>
          </cell>
          <cell r="J1340">
            <v>10880000</v>
          </cell>
          <cell r="K1340">
            <v>0</v>
          </cell>
          <cell r="L1340">
            <v>10880000</v>
          </cell>
        </row>
        <row r="1341">
          <cell r="B1341" t="str">
            <v>ASIO01AC</v>
          </cell>
          <cell r="C1341" t="str">
            <v>Sugeyo, UD</v>
          </cell>
          <cell r="D1341" t="str">
            <v>Irwan Prasetyo</v>
          </cell>
          <cell r="E1341" t="str">
            <v>Dusun Silirsari, RT.003/RW.002, Kel. Kesilir, Kec. Siliragung</v>
          </cell>
          <cell r="F1341" t="str">
            <v>Banyuwangi</v>
          </cell>
          <cell r="G1341" t="str">
            <v>3510222610990002</v>
          </cell>
          <cell r="H1341" t="str">
            <v>000000000000000</v>
          </cell>
          <cell r="I1341" t="str">
            <v>T komersil ( dr 2024 komersil )</v>
          </cell>
          <cell r="J1341">
            <v>0</v>
          </cell>
          <cell r="K1341">
            <v>0</v>
          </cell>
          <cell r="L1341">
            <v>0</v>
          </cell>
        </row>
        <row r="1342">
          <cell r="B1342" t="str">
            <v>BRAN01AC</v>
          </cell>
          <cell r="C1342" t="str">
            <v>Sumber Brantas</v>
          </cell>
          <cell r="D1342" t="str">
            <v>Budi Sejati</v>
          </cell>
          <cell r="E1342" t="str">
            <v>Dsn. Wonorejo, RT.005/RW.015, Kel. Tulungrejo</v>
          </cell>
          <cell r="F1342" t="str">
            <v>Batu</v>
          </cell>
          <cell r="G1342" t="str">
            <v>3579022305700002</v>
          </cell>
          <cell r="H1342" t="str">
            <v>000000000000000</v>
          </cell>
          <cell r="I1342" t="str">
            <v>Kecamatan tdk jelas</v>
          </cell>
          <cell r="J1342">
            <v>0</v>
          </cell>
          <cell r="K1342">
            <v>0</v>
          </cell>
          <cell r="L1342">
            <v>0</v>
          </cell>
        </row>
        <row r="1343">
          <cell r="B1343" t="str">
            <v>BRAN02AC</v>
          </cell>
          <cell r="C1343" t="str">
            <v>Sumber Brantas</v>
          </cell>
          <cell r="D1343" t="str">
            <v>Sati</v>
          </cell>
          <cell r="E1343" t="str">
            <v>Dsn. Bakalan, RT.006/RW.002, Kecl. Gajahrejo, Kec. Purwodadi</v>
          </cell>
          <cell r="F1343" t="str">
            <v>Pasuruan</v>
          </cell>
          <cell r="G1343" t="str">
            <v>3514017006580058</v>
          </cell>
          <cell r="H1343" t="str">
            <v>000000000000000</v>
          </cell>
          <cell r="J1343">
            <v>0</v>
          </cell>
          <cell r="K1343">
            <v>0</v>
          </cell>
          <cell r="L1343">
            <v>0</v>
          </cell>
        </row>
        <row r="1344">
          <cell r="B1344" t="str">
            <v>BRAN03AC</v>
          </cell>
          <cell r="C1344" t="str">
            <v>Sumber Brantas</v>
          </cell>
          <cell r="D1344" t="str">
            <v>Ngatemin</v>
          </cell>
          <cell r="E1344" t="str">
            <v>Dsn. Bakalan, RT.006/RW.002, Kecl. Gajahrejo, Kec. Purwodadi</v>
          </cell>
          <cell r="F1344" t="str">
            <v>Pasuruan</v>
          </cell>
          <cell r="G1344" t="str">
            <v>3514011209490002</v>
          </cell>
          <cell r="H1344" t="str">
            <v>000000000000000</v>
          </cell>
          <cell r="J1344">
            <v>0</v>
          </cell>
          <cell r="K1344">
            <v>0</v>
          </cell>
          <cell r="L1344">
            <v>0</v>
          </cell>
        </row>
        <row r="1345">
          <cell r="B1345" t="str">
            <v>BRAN04AC</v>
          </cell>
          <cell r="C1345" t="str">
            <v>Sumber Brantas</v>
          </cell>
          <cell r="D1345" t="str">
            <v>Misbah Choiriyah</v>
          </cell>
          <cell r="E1345" t="str">
            <v>Dsn. Laju, TR.005/RW.001, Kel. Banjarejo, Kec. Ngantang</v>
          </cell>
          <cell r="F1345" t="str">
            <v>Malang</v>
          </cell>
          <cell r="G1345" t="str">
            <v>3514016403770002</v>
          </cell>
          <cell r="H1345" t="str">
            <v>000000000000000</v>
          </cell>
          <cell r="J1345">
            <v>0</v>
          </cell>
          <cell r="K1345">
            <v>0</v>
          </cell>
          <cell r="L1345">
            <v>0</v>
          </cell>
        </row>
        <row r="1346">
          <cell r="B1346" t="str">
            <v>BRAN05AC</v>
          </cell>
          <cell r="C1346" t="str">
            <v>Sumber Brantas</v>
          </cell>
          <cell r="D1346" t="str">
            <v>Moh Kotibul Umam</v>
          </cell>
          <cell r="E1346" t="str">
            <v>Dsn. Bulurejo, RT.033/RW.008, Kel. Damarwulan, Kec. Kepung</v>
          </cell>
          <cell r="F1346" t="str">
            <v>Kediri</v>
          </cell>
          <cell r="G1346" t="str">
            <v>3506182707950004</v>
          </cell>
          <cell r="H1346" t="str">
            <v>000000000000000</v>
          </cell>
          <cell r="J1346">
            <v>0</v>
          </cell>
          <cell r="K1346">
            <v>0</v>
          </cell>
          <cell r="L1346">
            <v>0</v>
          </cell>
        </row>
        <row r="1347">
          <cell r="B1347" t="str">
            <v>SUJA01AC</v>
          </cell>
          <cell r="C1347" t="str">
            <v>Sumber Jaya Tani/Amir</v>
          </cell>
          <cell r="D1347" t="str">
            <v>Nuril Anwar</v>
          </cell>
          <cell r="E1347" t="str">
            <v>Dsn. Murong, RT.035/RW.011, Kel. Mayangan, Kec. Jogoroto</v>
          </cell>
          <cell r="F1347" t="str">
            <v>Jombang</v>
          </cell>
          <cell r="G1347" t="str">
            <v>3517191710010001</v>
          </cell>
          <cell r="H1347" t="str">
            <v>000000000000000</v>
          </cell>
          <cell r="J1347">
            <v>0</v>
          </cell>
          <cell r="K1347">
            <v>0</v>
          </cell>
          <cell r="L1347">
            <v>0</v>
          </cell>
        </row>
        <row r="1348">
          <cell r="B1348" t="str">
            <v>PUGU01AC</v>
          </cell>
          <cell r="C1348" t="str">
            <v>Sumber Lancar/Puguh</v>
          </cell>
          <cell r="D1348" t="str">
            <v>Jawal</v>
          </cell>
          <cell r="E1348" t="str">
            <v>Dsn Ngrombot, RT.003/RW.001, Kel. Kalang Semanding, Kec. Perak</v>
          </cell>
          <cell r="F1348" t="str">
            <v>Jombang</v>
          </cell>
          <cell r="G1348" t="str">
            <v>3517013011660007</v>
          </cell>
          <cell r="H1348" t="str">
            <v>000000000000000</v>
          </cell>
          <cell r="J1348">
            <v>0</v>
          </cell>
          <cell r="K1348">
            <v>0</v>
          </cell>
          <cell r="L1348">
            <v>0</v>
          </cell>
        </row>
        <row r="1349">
          <cell r="B1349" t="str">
            <v>PUGU02AC</v>
          </cell>
          <cell r="C1349" t="str">
            <v>Sumber Lancar/Puguh</v>
          </cell>
          <cell r="D1349" t="str">
            <v>Waras</v>
          </cell>
          <cell r="E1349" t="str">
            <v>Dsn. Kalangan, RT.002/RW.001, Kel. Kalang Semanding, Kec. Perak</v>
          </cell>
          <cell r="F1349" t="str">
            <v>Jombang</v>
          </cell>
          <cell r="G1349" t="str">
            <v>3517010107720002</v>
          </cell>
          <cell r="H1349" t="str">
            <v>000000000000000</v>
          </cell>
          <cell r="J1349">
            <v>0</v>
          </cell>
          <cell r="K1349">
            <v>0</v>
          </cell>
          <cell r="L1349">
            <v>0</v>
          </cell>
        </row>
        <row r="1350">
          <cell r="B1350" t="str">
            <v>IHYA01AC</v>
          </cell>
          <cell r="C1350" t="str">
            <v>Sumber Rejeki, Toko/Ihya</v>
          </cell>
          <cell r="D1350" t="str">
            <v>Ridwan Syah Aditama</v>
          </cell>
          <cell r="E1350" t="str">
            <v>Winong, RT.002/RW.004, Jambangan, Paron</v>
          </cell>
          <cell r="F1350" t="str">
            <v>Ngawi</v>
          </cell>
          <cell r="G1350" t="str">
            <v>9171052610900006</v>
          </cell>
          <cell r="H1350" t="str">
            <v>000000000000000</v>
          </cell>
          <cell r="J1350">
            <v>0</v>
          </cell>
          <cell r="K1350">
            <v>0</v>
          </cell>
          <cell r="L1350">
            <v>0</v>
          </cell>
        </row>
        <row r="1351">
          <cell r="B1351" t="str">
            <v>IHYA02AC</v>
          </cell>
          <cell r="C1351" t="str">
            <v>Sumber Rejeki, Toko/Ihya</v>
          </cell>
          <cell r="D1351" t="str">
            <v>Ihya</v>
          </cell>
          <cell r="E1351" t="str">
            <v>Dusun Bendo, RT.005/RW.010, Tempuran, Paron</v>
          </cell>
          <cell r="F1351" t="str">
            <v>Ngawi</v>
          </cell>
          <cell r="G1351" t="str">
            <v>9171050702950001</v>
          </cell>
          <cell r="H1351" t="str">
            <v>000000000000000</v>
          </cell>
          <cell r="J1351">
            <v>0</v>
          </cell>
          <cell r="K1351">
            <v>0</v>
          </cell>
          <cell r="L1351">
            <v>0</v>
          </cell>
        </row>
        <row r="1352">
          <cell r="B1352" t="str">
            <v>IHYA03AC</v>
          </cell>
          <cell r="C1352" t="str">
            <v>Sumber Rejeki, Toko/Ihya</v>
          </cell>
          <cell r="D1352" t="str">
            <v>Muhammad Ismu</v>
          </cell>
          <cell r="E1352" t="str">
            <v>Jl. Bandara Eltari V H-15, RT.005/RW.008, Gemorokandang, Kedungkandang</v>
          </cell>
          <cell r="F1352" t="str">
            <v>Malang</v>
          </cell>
          <cell r="G1352" t="str">
            <v>3506171104830002</v>
          </cell>
          <cell r="H1352" t="str">
            <v>000000000000000</v>
          </cell>
          <cell r="J1352">
            <v>0</v>
          </cell>
          <cell r="K1352">
            <v>0</v>
          </cell>
          <cell r="L1352">
            <v>0</v>
          </cell>
        </row>
        <row r="1353">
          <cell r="B1353" t="str">
            <v>REJE01AC</v>
          </cell>
          <cell r="C1353" t="str">
            <v>Sumber Rejeki/Ali</v>
          </cell>
          <cell r="D1353" t="str">
            <v>Mahfud</v>
          </cell>
          <cell r="E1353" t="str">
            <v>Krajan, RT.005/RW.002, Kel. Kepuh, Kec. Kajayan</v>
          </cell>
          <cell r="F1353" t="str">
            <v>Pasuruan</v>
          </cell>
          <cell r="G1353" t="str">
            <v>3514060708700002</v>
          </cell>
          <cell r="H1353" t="str">
            <v>000000000000000</v>
          </cell>
          <cell r="I1353" t="str">
            <v>Lapor Pajak per  05/10/22</v>
          </cell>
          <cell r="J1353">
            <v>0</v>
          </cell>
          <cell r="K1353">
            <v>0</v>
          </cell>
          <cell r="L1353">
            <v>0</v>
          </cell>
        </row>
        <row r="1354">
          <cell r="B1354" t="str">
            <v>REJE02AC</v>
          </cell>
          <cell r="C1354" t="str">
            <v>Sumber Rejeki/Ali</v>
          </cell>
          <cell r="D1354" t="str">
            <v>Jupri</v>
          </cell>
          <cell r="E1354" t="str">
            <v>Krajan - Kepuh, RT.005/RW.002, Kel. Kepuh, Kec. Kejayan</v>
          </cell>
          <cell r="F1354" t="str">
            <v>Pasuruan</v>
          </cell>
          <cell r="G1354" t="str">
            <v>3514060808520001</v>
          </cell>
          <cell r="H1354" t="str">
            <v>000000000000000</v>
          </cell>
          <cell r="J1354">
            <v>0</v>
          </cell>
          <cell r="K1354">
            <v>0</v>
          </cell>
          <cell r="L1354">
            <v>0</v>
          </cell>
        </row>
        <row r="1355">
          <cell r="B1355" t="str">
            <v>REJE03AC</v>
          </cell>
          <cell r="C1355" t="str">
            <v>Sumber Rejeki/Ali</v>
          </cell>
          <cell r="D1355" t="str">
            <v>Muhtar</v>
          </cell>
          <cell r="E1355" t="str">
            <v>Krajan, RT.005/RW.001, Kel. Kepuh, Kec. Kejayan</v>
          </cell>
          <cell r="F1355" t="str">
            <v>Pasuruan</v>
          </cell>
          <cell r="G1355" t="str">
            <v>3514060205820003</v>
          </cell>
          <cell r="H1355" t="str">
            <v>000000000000000</v>
          </cell>
          <cell r="J1355">
            <v>0</v>
          </cell>
          <cell r="K1355">
            <v>0</v>
          </cell>
          <cell r="L1355">
            <v>0</v>
          </cell>
        </row>
        <row r="1356">
          <cell r="B1356" t="str">
            <v>REJE04AC</v>
          </cell>
          <cell r="C1356" t="str">
            <v>Sumber Rejeki/Ali</v>
          </cell>
          <cell r="D1356" t="str">
            <v>Soleh</v>
          </cell>
          <cell r="E1356" t="str">
            <v>Krajan Utara, RT.001/RW.001, Kel. Kepuh, Kec. Kejayan</v>
          </cell>
          <cell r="F1356" t="str">
            <v>Pasuruan</v>
          </cell>
          <cell r="G1356" t="str">
            <v>3514060306740001</v>
          </cell>
          <cell r="H1356" t="str">
            <v>000000000000000</v>
          </cell>
          <cell r="J1356">
            <v>0</v>
          </cell>
          <cell r="K1356">
            <v>0</v>
          </cell>
          <cell r="L1356">
            <v>0</v>
          </cell>
        </row>
        <row r="1357">
          <cell r="B1357" t="str">
            <v>REJE05AC</v>
          </cell>
          <cell r="C1357" t="str">
            <v>Sumber Rejeki/Ali</v>
          </cell>
          <cell r="D1357" t="str">
            <v>Syamsul Arifin</v>
          </cell>
          <cell r="E1357" t="str">
            <v>Krajan Utara, RT.001, Kel. Kepuh, Kec. Kejayan</v>
          </cell>
          <cell r="F1357" t="str">
            <v>Pasuruan</v>
          </cell>
          <cell r="G1357" t="str">
            <v>3514061207730006</v>
          </cell>
          <cell r="H1357" t="str">
            <v>000000000000000</v>
          </cell>
          <cell r="J1357">
            <v>0</v>
          </cell>
          <cell r="K1357">
            <v>0</v>
          </cell>
          <cell r="L1357">
            <v>0</v>
          </cell>
        </row>
        <row r="1358">
          <cell r="B1358" t="str">
            <v>REJE06AC</v>
          </cell>
          <cell r="C1358" t="str">
            <v>Sumber Rejeki/Ali</v>
          </cell>
          <cell r="D1358" t="str">
            <v>Samsudin</v>
          </cell>
          <cell r="E1358" t="str">
            <v>Krajan Utara, RT.001/RW.001, Kel. Kepuh, Kec. Kejayan</v>
          </cell>
          <cell r="F1358" t="str">
            <v>Pasuruan</v>
          </cell>
          <cell r="G1358" t="str">
            <v>3514060308760001</v>
          </cell>
          <cell r="H1358" t="str">
            <v>000000000000000</v>
          </cell>
          <cell r="J1358">
            <v>0</v>
          </cell>
          <cell r="K1358">
            <v>0</v>
          </cell>
          <cell r="L1358">
            <v>0</v>
          </cell>
        </row>
        <row r="1359">
          <cell r="B1359" t="str">
            <v>REJE07AC</v>
          </cell>
          <cell r="C1359" t="str">
            <v>Sumber Rejeki/Ali</v>
          </cell>
          <cell r="D1359" t="str">
            <v>Sodikin</v>
          </cell>
          <cell r="E1359" t="str">
            <v>Krajan Utara, RT.001/RW.001, Kel. Kepuh, Kec. Kejayan</v>
          </cell>
          <cell r="F1359" t="str">
            <v>Pasuruan</v>
          </cell>
          <cell r="G1359" t="str">
            <v>3514060710800002</v>
          </cell>
          <cell r="H1359" t="str">
            <v>000000000000000</v>
          </cell>
          <cell r="J1359">
            <v>0</v>
          </cell>
          <cell r="K1359">
            <v>0</v>
          </cell>
          <cell r="L1359">
            <v>0</v>
          </cell>
        </row>
        <row r="1360">
          <cell r="B1360" t="str">
            <v>REJE08AC</v>
          </cell>
          <cell r="C1360" t="str">
            <v>Sumber Rejeki/Ali</v>
          </cell>
          <cell r="D1360" t="str">
            <v>Rifai</v>
          </cell>
          <cell r="E1360" t="str">
            <v>Kepuh, RT.001, Kel. Kepuh, Kec. Kejayan</v>
          </cell>
          <cell r="F1360" t="str">
            <v>Pasuruan</v>
          </cell>
          <cell r="G1360" t="str">
            <v>3514060107420005</v>
          </cell>
          <cell r="H1360" t="str">
            <v>000000000000000</v>
          </cell>
          <cell r="J1360">
            <v>0</v>
          </cell>
          <cell r="K1360">
            <v>0</v>
          </cell>
          <cell r="L1360">
            <v>0</v>
          </cell>
        </row>
        <row r="1361">
          <cell r="B1361" t="str">
            <v>REJE09AC</v>
          </cell>
          <cell r="C1361" t="str">
            <v>Sumber Rejeki/Ali</v>
          </cell>
          <cell r="D1361" t="str">
            <v>Alimun</v>
          </cell>
          <cell r="E1361" t="str">
            <v>Krajan Utara, RT.001/RW.001, Kel. Kepuh, Kec. Kejayan</v>
          </cell>
          <cell r="F1361" t="str">
            <v>Pasuruan</v>
          </cell>
          <cell r="G1361" t="str">
            <v>3514060602640002</v>
          </cell>
          <cell r="H1361" t="str">
            <v>000000000000000</v>
          </cell>
          <cell r="J1361">
            <v>0</v>
          </cell>
          <cell r="K1361">
            <v>0</v>
          </cell>
          <cell r="L1361">
            <v>0</v>
          </cell>
        </row>
        <row r="1362">
          <cell r="B1362" t="str">
            <v>IWAN01AC</v>
          </cell>
          <cell r="C1362" t="str">
            <v>Sumber Rejeki/Iwan</v>
          </cell>
          <cell r="D1362" t="str">
            <v>Fathorrozi</v>
          </cell>
          <cell r="E1362" t="str">
            <v>Dusun Kauman, RT.001/RW.010, Kel. Tempurejo, Kec. Tempurejo</v>
          </cell>
          <cell r="F1362" t="str">
            <v>Jember</v>
          </cell>
          <cell r="G1362" t="str">
            <v>3509181008750003</v>
          </cell>
          <cell r="H1362" t="str">
            <v>000000000000000</v>
          </cell>
          <cell r="I1362" t="str">
            <v>Iwan Setiawan Yahya</v>
          </cell>
          <cell r="J1362">
            <v>0</v>
          </cell>
          <cell r="K1362">
            <v>0</v>
          </cell>
          <cell r="L1362">
            <v>0</v>
          </cell>
        </row>
        <row r="1363">
          <cell r="B1363" t="str">
            <v>IWAN02AC</v>
          </cell>
          <cell r="C1363" t="str">
            <v>Sumber Rejeki/Iwan</v>
          </cell>
          <cell r="D1363" t="str">
            <v>Muniri</v>
          </cell>
          <cell r="E1363" t="str">
            <v>Dusun Kauman, RT.001/RW.007, Kel. Tempurejo, Kec. Tempurejo</v>
          </cell>
          <cell r="F1363" t="str">
            <v>Jember</v>
          </cell>
          <cell r="G1363" t="str">
            <v>3528073112830016</v>
          </cell>
          <cell r="H1363" t="str">
            <v>000000000000000</v>
          </cell>
          <cell r="J1363">
            <v>0</v>
          </cell>
          <cell r="K1363">
            <v>0</v>
          </cell>
          <cell r="L1363">
            <v>0</v>
          </cell>
        </row>
        <row r="1364">
          <cell r="B1364" t="str">
            <v>IWAN03AC</v>
          </cell>
          <cell r="C1364" t="str">
            <v>Sumber Rejeki/Iwan</v>
          </cell>
          <cell r="D1364" t="str">
            <v>Samsukdin</v>
          </cell>
          <cell r="E1364" t="str">
            <v>Dusun Kauman, RT.001/RW.007, Kel. Tempurejo, Kec. Tempurejo</v>
          </cell>
          <cell r="F1364" t="str">
            <v>Jember</v>
          </cell>
          <cell r="G1364" t="str">
            <v>3509180103820004</v>
          </cell>
          <cell r="H1364" t="str">
            <v>000000000000000</v>
          </cell>
          <cell r="J1364">
            <v>0</v>
          </cell>
          <cell r="K1364">
            <v>0</v>
          </cell>
          <cell r="L1364">
            <v>0</v>
          </cell>
        </row>
        <row r="1365">
          <cell r="B1365" t="str">
            <v>IWAN04AC</v>
          </cell>
          <cell r="C1365" t="str">
            <v>Sumber Rejeki/Iwan</v>
          </cell>
          <cell r="D1365" t="str">
            <v>Hosnan</v>
          </cell>
          <cell r="E1365" t="str">
            <v>Dusun Kauman, RT.002/RW.008, Kel. Tempurejo, Kec. Tempurejo</v>
          </cell>
          <cell r="F1365" t="str">
            <v>Jember</v>
          </cell>
          <cell r="G1365" t="str">
            <v>3509181212600003</v>
          </cell>
          <cell r="H1365" t="str">
            <v>000000000000000</v>
          </cell>
          <cell r="J1365">
            <v>0</v>
          </cell>
          <cell r="K1365">
            <v>0</v>
          </cell>
          <cell r="L1365">
            <v>0</v>
          </cell>
        </row>
        <row r="1366">
          <cell r="B1366" t="str">
            <v>IWAN05AC</v>
          </cell>
          <cell r="C1366" t="str">
            <v>Sumber Rejeki/Iwan</v>
          </cell>
          <cell r="D1366" t="str">
            <v>Maisaroh</v>
          </cell>
          <cell r="E1366" t="str">
            <v>Dusun Kauman, RT.001/RW.008, Kel. Tempurejo, Kec. Tempurejo</v>
          </cell>
          <cell r="F1366" t="str">
            <v>Jember</v>
          </cell>
          <cell r="G1366" t="str">
            <v>3509184606900006</v>
          </cell>
          <cell r="H1366" t="str">
            <v>000000000000000</v>
          </cell>
          <cell r="J1366">
            <v>0</v>
          </cell>
          <cell r="K1366">
            <v>0</v>
          </cell>
          <cell r="L1366">
            <v>0</v>
          </cell>
        </row>
        <row r="1367">
          <cell r="B1367" t="str">
            <v>IWAN06AC</v>
          </cell>
          <cell r="C1367" t="str">
            <v>Sumber Rejeki/Iwan</v>
          </cell>
          <cell r="D1367" t="str">
            <v>Abd Bari</v>
          </cell>
          <cell r="E1367" t="str">
            <v>Dusun Kauman, RT.001/RW.007, Kel. Tempurejo, Kec. Tempurejo</v>
          </cell>
          <cell r="F1367" t="str">
            <v>Jember</v>
          </cell>
          <cell r="G1367" t="str">
            <v>3509182710830003</v>
          </cell>
          <cell r="H1367" t="str">
            <v>000000000000000</v>
          </cell>
          <cell r="J1367">
            <v>0</v>
          </cell>
          <cell r="K1367">
            <v>0</v>
          </cell>
          <cell r="L1367">
            <v>0</v>
          </cell>
        </row>
        <row r="1368">
          <cell r="B1368" t="str">
            <v>AGIN01AC</v>
          </cell>
          <cell r="C1368" t="str">
            <v>Sumber Tani, UD/Agin</v>
          </cell>
          <cell r="D1368" t="str">
            <v>Rokhim</v>
          </cell>
          <cell r="E1368" t="str">
            <v>Dsn. Krajan Barat, RT.057/RW.008, Kel. Nguter, Kec. Pasirian</v>
          </cell>
          <cell r="F1368" t="str">
            <v>Lumajang</v>
          </cell>
          <cell r="G1368" t="str">
            <v>3508041011970003</v>
          </cell>
          <cell r="H1368" t="str">
            <v>000000000000000</v>
          </cell>
          <cell r="J1368">
            <v>56159199.999999963</v>
          </cell>
          <cell r="K1368">
            <v>0</v>
          </cell>
          <cell r="L1368">
            <v>56159199.999999963</v>
          </cell>
        </row>
        <row r="1369">
          <cell r="B1369" t="str">
            <v>AGIN03AC</v>
          </cell>
          <cell r="C1369" t="str">
            <v>Sumber Tani, UD/Agin</v>
          </cell>
          <cell r="D1369" t="str">
            <v>Fricylia Gaghansa</v>
          </cell>
          <cell r="E1369" t="str">
            <v>Lingkungan III, RT.012/RW.003, Kel. Kakenturan Dua, Kec. Maesa</v>
          </cell>
          <cell r="F1369" t="str">
            <v>Bitung</v>
          </cell>
          <cell r="G1369" t="str">
            <v>7172076202880002</v>
          </cell>
          <cell r="H1369" t="str">
            <v>000000000000000</v>
          </cell>
          <cell r="J1369">
            <v>77965599.9997603</v>
          </cell>
          <cell r="K1369">
            <v>0</v>
          </cell>
          <cell r="L1369">
            <v>77965599.9997603</v>
          </cell>
        </row>
        <row r="1370">
          <cell r="B1370" t="str">
            <v>AGIN04AC</v>
          </cell>
          <cell r="C1370" t="str">
            <v>Sumber Tani, UD/Agin</v>
          </cell>
          <cell r="D1370" t="str">
            <v>Nurul Fitriana C</v>
          </cell>
          <cell r="E1370" t="str">
            <v>Jl. Bunisari No. 174, RT.004/RW.007, Kel. Antapani Wetan, Kec. Antapani</v>
          </cell>
          <cell r="F1370" t="str">
            <v>Bandung</v>
          </cell>
          <cell r="G1370" t="str">
            <v>3273204509940001</v>
          </cell>
          <cell r="H1370" t="str">
            <v>000000000000000</v>
          </cell>
          <cell r="J1370">
            <v>73379999.999693438</v>
          </cell>
          <cell r="K1370">
            <v>0</v>
          </cell>
          <cell r="L1370">
            <v>73379999.999693438</v>
          </cell>
        </row>
        <row r="1371">
          <cell r="B1371" t="str">
            <v>AGIN05AC</v>
          </cell>
          <cell r="C1371" t="str">
            <v>Sumber Tani, UD/Agin</v>
          </cell>
          <cell r="D1371" t="str">
            <v>Darmawi</v>
          </cell>
          <cell r="E1371" t="str">
            <v>Jengan Danum, RT001/RW.-, Kel. Jangan Danum, Kec. Damai</v>
          </cell>
          <cell r="F1371" t="str">
            <v>Kutai Barat</v>
          </cell>
          <cell r="G1371" t="str">
            <v>6407081804720001</v>
          </cell>
          <cell r="H1371" t="str">
            <v>000000000000000</v>
          </cell>
          <cell r="J1371">
            <v>55131999.999762505</v>
          </cell>
          <cell r="K1371">
            <v>0</v>
          </cell>
          <cell r="L1371">
            <v>55131999.999762505</v>
          </cell>
        </row>
        <row r="1372">
          <cell r="B1372" t="str">
            <v>AGIN07AC</v>
          </cell>
          <cell r="C1372" t="str">
            <v>Sumber Tani, UD/Agin</v>
          </cell>
          <cell r="D1372" t="str">
            <v>Wiwik Setiyaningsih</v>
          </cell>
          <cell r="E1372" t="str">
            <v>Jl. Ki Hajar Dewantara 3A, No.1, RT.012/RW.009, Kel. Selosari, Kec. Magetan</v>
          </cell>
          <cell r="F1372" t="str">
            <v>Magetan</v>
          </cell>
          <cell r="G1372" t="str">
            <v>3520066905680001</v>
          </cell>
          <cell r="H1372" t="str">
            <v>000000000000000</v>
          </cell>
          <cell r="J1372">
            <v>99421999.999884993</v>
          </cell>
          <cell r="K1372">
            <v>0</v>
          </cell>
          <cell r="L1372">
            <v>99421999.999884993</v>
          </cell>
        </row>
        <row r="1373">
          <cell r="B1373" t="str">
            <v>AGIN09AC</v>
          </cell>
          <cell r="C1373" t="str">
            <v>Sumber Tani, UD/Agin</v>
          </cell>
          <cell r="D1373" t="str">
            <v>Bayu Andreas</v>
          </cell>
          <cell r="E1373" t="str">
            <v>Curah 2, RT.004/RW.017, Kel. Sokorini, Kec. Mutilan</v>
          </cell>
          <cell r="F1373" t="str">
            <v>Magelang</v>
          </cell>
          <cell r="G1373" t="str">
            <v>3311091107900004</v>
          </cell>
          <cell r="H1373" t="str">
            <v>000000000000000</v>
          </cell>
          <cell r="J1373">
            <v>86967999.999862999</v>
          </cell>
          <cell r="K1373">
            <v>0</v>
          </cell>
          <cell r="L1373">
            <v>86967999.999862999</v>
          </cell>
        </row>
        <row r="1374">
          <cell r="B1374" t="str">
            <v>AGIN10AC</v>
          </cell>
          <cell r="C1374" t="str">
            <v>Sumber Tani, UD/Agin</v>
          </cell>
          <cell r="D1374" t="str">
            <v>Tab Barani</v>
          </cell>
          <cell r="E1374" t="str">
            <v>Dusun Kaya Tani, Kel. Seunebok Antara, Kec. Langsa Timur</v>
          </cell>
          <cell r="F1374" t="str">
            <v>Langsa</v>
          </cell>
          <cell r="G1374" t="str">
            <v>1174012607970003</v>
          </cell>
          <cell r="H1374" t="str">
            <v>000000000000000</v>
          </cell>
          <cell r="J1374">
            <v>65847999.99960649</v>
          </cell>
          <cell r="K1374">
            <v>0</v>
          </cell>
          <cell r="L1374">
            <v>65847999.99960649</v>
          </cell>
        </row>
        <row r="1375">
          <cell r="B1375" t="str">
            <v>AGIN11AC</v>
          </cell>
          <cell r="C1375" t="str">
            <v>Sumber Tani, UD/Agin</v>
          </cell>
          <cell r="D1375" t="str">
            <v>Rasha Faisal</v>
          </cell>
          <cell r="E1375" t="str">
            <v>Perum Villa Sengkaling A/10, RT.001/RW.003, Kel. Mulyoagung, Kec. Dau</v>
          </cell>
          <cell r="F1375" t="str">
            <v>Malang</v>
          </cell>
          <cell r="G1375" t="str">
            <v>3507226010870001</v>
          </cell>
          <cell r="H1375" t="str">
            <v>000000000000000</v>
          </cell>
          <cell r="J1375">
            <v>69159999.999798998</v>
          </cell>
          <cell r="K1375">
            <v>0</v>
          </cell>
          <cell r="L1375">
            <v>69159999.999798998</v>
          </cell>
        </row>
        <row r="1376">
          <cell r="B1376" t="str">
            <v>AGIN12AC</v>
          </cell>
          <cell r="C1376" t="str">
            <v>Sumber Tani, UD/Agin</v>
          </cell>
          <cell r="D1376" t="str">
            <v>Debby Anggraini</v>
          </cell>
          <cell r="E1376" t="str">
            <v>Jl. Kecapi V, RT.006/RW.005, Kel. Jagakarsa, Kec. Jagakarsa</v>
          </cell>
          <cell r="F1376" t="str">
            <v>Jakarta Selatan</v>
          </cell>
          <cell r="G1376" t="str">
            <v>3174096112900001</v>
          </cell>
          <cell r="H1376" t="str">
            <v>000000000000000</v>
          </cell>
          <cell r="J1376">
            <v>49387199.999908</v>
          </cell>
          <cell r="K1376">
            <v>0</v>
          </cell>
          <cell r="L1376">
            <v>49387199.999908</v>
          </cell>
        </row>
        <row r="1377">
          <cell r="B1377" t="str">
            <v>AGIN13AC</v>
          </cell>
          <cell r="C1377" t="str">
            <v>Sumber Tani, UD/Agin</v>
          </cell>
          <cell r="D1377" t="str">
            <v>M. Agus</v>
          </cell>
          <cell r="E1377" t="str">
            <v>Botong, RT.020/RW.019, Kec. Bontomana, Kel. Bungaya</v>
          </cell>
          <cell r="F1377" t="str">
            <v>Gowa</v>
          </cell>
          <cell r="G1377" t="str">
            <v>7306091408930001</v>
          </cell>
          <cell r="H1377" t="str">
            <v>000000000000000</v>
          </cell>
          <cell r="J1377">
            <v>89087999.999892995</v>
          </cell>
          <cell r="K1377">
            <v>0</v>
          </cell>
          <cell r="L1377">
            <v>89087999.999892995</v>
          </cell>
        </row>
        <row r="1378">
          <cell r="B1378" t="str">
            <v>AGIN14AC</v>
          </cell>
          <cell r="C1378" t="str">
            <v>Sumber Tani, UD/Agin</v>
          </cell>
          <cell r="D1378" t="str">
            <v>Prasetyo Febriyanto</v>
          </cell>
          <cell r="E1378" t="str">
            <v>Jl. Jecd. Sudirman No.416, RT.020/RW.007, Kel. Ganjar Agung, Kec. Metro Barat</v>
          </cell>
          <cell r="F1378" t="str">
            <v>Metro</v>
          </cell>
          <cell r="G1378" t="str">
            <v>1872030102920001</v>
          </cell>
          <cell r="H1378" t="str">
            <v>000000000000000</v>
          </cell>
          <cell r="J1378">
            <v>55455999.999844104</v>
          </cell>
          <cell r="K1378">
            <v>0</v>
          </cell>
          <cell r="L1378">
            <v>55455999.999844104</v>
          </cell>
        </row>
        <row r="1379">
          <cell r="B1379" t="str">
            <v>AGIN15AC</v>
          </cell>
          <cell r="C1379" t="str">
            <v>Sumber Tani, UD/Agin</v>
          </cell>
          <cell r="D1379" t="str">
            <v>Adolof Lukas Y.W</v>
          </cell>
          <cell r="E1379" t="str">
            <v>Jl. Barend, RT.002/RW.002, Kel. Amban, Kec. Manokwari Barat</v>
          </cell>
          <cell r="F1379" t="str">
            <v>Manokwari</v>
          </cell>
          <cell r="G1379" t="str">
            <v>9202120706930006</v>
          </cell>
          <cell r="H1379" t="str">
            <v>000000000000000</v>
          </cell>
          <cell r="J1379">
            <v>53855999.999885499</v>
          </cell>
          <cell r="K1379">
            <v>0</v>
          </cell>
          <cell r="L1379">
            <v>53855999.999885499</v>
          </cell>
        </row>
        <row r="1380">
          <cell r="B1380" t="str">
            <v>AGIN16AC</v>
          </cell>
          <cell r="C1380" t="str">
            <v>Sumber Tani, UD/Agin</v>
          </cell>
          <cell r="D1380" t="str">
            <v>Afiqah Azizah</v>
          </cell>
          <cell r="E1380" t="str">
            <v>Jl. Kebon Jati No.182, RT.008/RW.004, Kel. Kebon Jeruk, Kec. Andir</v>
          </cell>
          <cell r="F1380" t="str">
            <v>Bandung</v>
          </cell>
          <cell r="G1380" t="str">
            <v>3273052405860011</v>
          </cell>
          <cell r="H1380" t="str">
            <v>000000000000000</v>
          </cell>
          <cell r="J1380">
            <v>53423999.999958999</v>
          </cell>
          <cell r="K1380">
            <v>0</v>
          </cell>
          <cell r="L1380">
            <v>53423999.999958999</v>
          </cell>
        </row>
        <row r="1381">
          <cell r="B1381" t="str">
            <v>AGIN17AC</v>
          </cell>
          <cell r="C1381" t="str">
            <v>Sumber Tani, UD/Agin</v>
          </cell>
          <cell r="D1381" t="str">
            <v>Abdul Fatah</v>
          </cell>
          <cell r="E1381" t="str">
            <v>KP. Sekolahan, RT.002/RW.001, Kel. Widoro Payung, Kec. Besuki</v>
          </cell>
          <cell r="F1381" t="str">
            <v>Situbondo</v>
          </cell>
          <cell r="G1381" t="str">
            <v>3512020703910004</v>
          </cell>
          <cell r="H1381" t="str">
            <v>000000000000000</v>
          </cell>
          <cell r="J1381">
            <v>41143999.999958999</v>
          </cell>
          <cell r="K1381">
            <v>0</v>
          </cell>
          <cell r="L1381">
            <v>41143999.999958999</v>
          </cell>
        </row>
        <row r="1382">
          <cell r="B1382" t="str">
            <v>BASU01AC</v>
          </cell>
          <cell r="C1382" t="str">
            <v>Sumber Tani, UD/Basuni</v>
          </cell>
          <cell r="D1382" t="str">
            <v>Samsudin</v>
          </cell>
          <cell r="E1382" t="str">
            <v>Sumberejokidul, RT.002/RW.003, Kel. Sumberjokidul, Kec. Sukosewu</v>
          </cell>
          <cell r="F1382" t="str">
            <v>Bojonegoro</v>
          </cell>
          <cell r="G1382" t="str">
            <v>3522240809770006</v>
          </cell>
          <cell r="H1382" t="str">
            <v>000000000000000</v>
          </cell>
          <cell r="J1382">
            <v>0</v>
          </cell>
          <cell r="K1382">
            <v>0</v>
          </cell>
          <cell r="L1382">
            <v>0</v>
          </cell>
        </row>
        <row r="1383">
          <cell r="B1383" t="str">
            <v>BASU02AC</v>
          </cell>
          <cell r="C1383" t="str">
            <v>Sumber Tani, UD/Basuni</v>
          </cell>
          <cell r="D1383" t="str">
            <v>Heri Prabowo</v>
          </cell>
          <cell r="E1383" t="str">
            <v>Drenges, RT.007/RW.002, Kel. Drenges, Kec. Sugihwaras</v>
          </cell>
          <cell r="F1383" t="str">
            <v>Bojonegoro</v>
          </cell>
          <cell r="G1383" t="str">
            <v>3522070406870001</v>
          </cell>
          <cell r="H1383" t="str">
            <v>000000000000000</v>
          </cell>
          <cell r="J1383">
            <v>0</v>
          </cell>
          <cell r="K1383">
            <v>0</v>
          </cell>
          <cell r="L1383">
            <v>0</v>
          </cell>
        </row>
        <row r="1384">
          <cell r="B1384" t="str">
            <v>BASU03AC</v>
          </cell>
          <cell r="C1384" t="str">
            <v>Sumber Tani, UD/Basuni</v>
          </cell>
          <cell r="D1384" t="str">
            <v>Romisyah</v>
          </cell>
          <cell r="E1384" t="str">
            <v>Dsn Bungkal, RT.001/RW.001, Kel. Mayangkawis, Kec. Balen</v>
          </cell>
          <cell r="F1384" t="str">
            <v>Bojonegoro</v>
          </cell>
          <cell r="G1384" t="str">
            <v>3522130909860001</v>
          </cell>
          <cell r="H1384" t="str">
            <v>000000000000000</v>
          </cell>
          <cell r="J1384">
            <v>0</v>
          </cell>
          <cell r="K1384">
            <v>0</v>
          </cell>
          <cell r="L1384">
            <v>0</v>
          </cell>
        </row>
        <row r="1385">
          <cell r="B1385" t="str">
            <v>BASU04AC</v>
          </cell>
          <cell r="C1385" t="str">
            <v>Sumber Tani, UD/Basuni</v>
          </cell>
          <cell r="D1385" t="str">
            <v>Enik Susiati</v>
          </cell>
          <cell r="E1385" t="str">
            <v>Krajan I, RT.004/RW.002, Kel. Temayang, Kec. Temayang</v>
          </cell>
          <cell r="F1385" t="str">
            <v>Bojonegoro</v>
          </cell>
          <cell r="G1385" t="str">
            <v>3522215010650004</v>
          </cell>
          <cell r="H1385" t="str">
            <v>000000000000000</v>
          </cell>
          <cell r="J1385">
            <v>0</v>
          </cell>
          <cell r="K1385">
            <v>0</v>
          </cell>
          <cell r="L1385">
            <v>0</v>
          </cell>
        </row>
        <row r="1386">
          <cell r="B1386" t="str">
            <v>BASU05AC</v>
          </cell>
          <cell r="C1386" t="str">
            <v>Sumber Tani, UD/Basuni</v>
          </cell>
          <cell r="D1386" t="str">
            <v>Dewi Rosita</v>
          </cell>
          <cell r="E1386" t="str">
            <v>Kedungsumber, RT.011/RW.004, Kel. Kedungsumber, Kec. Temayang</v>
          </cell>
          <cell r="F1386" t="str">
            <v>Bojonegoro</v>
          </cell>
          <cell r="G1386" t="str">
            <v>3522215411940001</v>
          </cell>
          <cell r="H1386" t="str">
            <v>000000000000000</v>
          </cell>
          <cell r="J1386">
            <v>0</v>
          </cell>
          <cell r="K1386">
            <v>0</v>
          </cell>
          <cell r="L1386">
            <v>0</v>
          </cell>
        </row>
        <row r="1387">
          <cell r="B1387" t="str">
            <v>BASU07AC</v>
          </cell>
          <cell r="C1387" t="str">
            <v>Sumber Tani, UD/Basuni</v>
          </cell>
          <cell r="D1387" t="str">
            <v>Karsono</v>
          </cell>
          <cell r="E1387" t="str">
            <v>Dusun Sidorejo, RT.005/RW.001, Kel. Sidorejo, Kec. Sukosewu</v>
          </cell>
          <cell r="F1387" t="str">
            <v>Bojonegoro</v>
          </cell>
          <cell r="G1387" t="str">
            <v>3522242210770001</v>
          </cell>
          <cell r="H1387" t="str">
            <v>000000000000000</v>
          </cell>
          <cell r="J1387">
            <v>0</v>
          </cell>
          <cell r="K1387">
            <v>0</v>
          </cell>
          <cell r="L1387">
            <v>0</v>
          </cell>
        </row>
        <row r="1388">
          <cell r="B1388" t="str">
            <v>BASU08AC</v>
          </cell>
          <cell r="C1388" t="str">
            <v>Sumber Tani, UD/Basuni</v>
          </cell>
          <cell r="D1388" t="str">
            <v>Hari Sucipto</v>
          </cell>
          <cell r="E1388" t="str">
            <v>Alasgung, RT.015/RW.005, Kel. Alasgung, Kec. Sugihwaras</v>
          </cell>
          <cell r="F1388" t="str">
            <v>Bojonegoro</v>
          </cell>
          <cell r="G1388" t="str">
            <v>3522070108670001</v>
          </cell>
          <cell r="H1388" t="str">
            <v>000000000000000</v>
          </cell>
          <cell r="J1388">
            <v>0</v>
          </cell>
          <cell r="K1388">
            <v>0</v>
          </cell>
          <cell r="L1388">
            <v>0</v>
          </cell>
        </row>
        <row r="1389">
          <cell r="B1389" t="str">
            <v>BASU09AC</v>
          </cell>
          <cell r="C1389" t="str">
            <v>Sumber Tani, UD/Basuni</v>
          </cell>
          <cell r="D1389" t="str">
            <v>Basuki</v>
          </cell>
          <cell r="E1389" t="str">
            <v>Dusun Dureg, RT.031/RW.002, Kel. Sidobandung, Kec. Balen</v>
          </cell>
          <cell r="F1389" t="str">
            <v>Bojonegoro</v>
          </cell>
          <cell r="G1389" t="str">
            <v>3522133112600034</v>
          </cell>
          <cell r="H1389" t="str">
            <v>000000000000000</v>
          </cell>
          <cell r="J1389">
            <v>0</v>
          </cell>
          <cell r="K1389">
            <v>0</v>
          </cell>
          <cell r="L1389">
            <v>0</v>
          </cell>
        </row>
        <row r="1390">
          <cell r="B1390" t="str">
            <v>BASU10AC</v>
          </cell>
          <cell r="C1390" t="str">
            <v>Sumber Tani, UD/Basuni</v>
          </cell>
          <cell r="D1390" t="str">
            <v>Siti Elok Afifah</v>
          </cell>
          <cell r="E1390" t="str">
            <v>Dusun Bujel, RT.022/RW.002, Kel. Suwaloh, Kec. Balen</v>
          </cell>
          <cell r="F1390" t="str">
            <v>Bojonegoro</v>
          </cell>
          <cell r="G1390" t="str">
            <v>3522134608880001</v>
          </cell>
          <cell r="H1390" t="str">
            <v>000000000000000</v>
          </cell>
          <cell r="I1390" t="str">
            <v>Cek lagi juli 2024 awalnya tdk bisa upload tp coba lagi aja</v>
          </cell>
          <cell r="J1390">
            <v>0</v>
          </cell>
          <cell r="K1390">
            <v>0</v>
          </cell>
          <cell r="L1390">
            <v>0</v>
          </cell>
        </row>
        <row r="1391">
          <cell r="B1391" t="str">
            <v>BASU11AC</v>
          </cell>
          <cell r="C1391" t="str">
            <v>Sumber Tani, UD/Basuni</v>
          </cell>
          <cell r="D1391" t="str">
            <v>Susilo Ali Sahbudi</v>
          </cell>
          <cell r="E1391" t="str">
            <v>Glagahan, RT.008/RW.004, Kel. Glagahan, Kec. Sugihwaras</v>
          </cell>
          <cell r="F1391" t="str">
            <v>Bojonegoro</v>
          </cell>
          <cell r="G1391" t="str">
            <v>3522242007900001</v>
          </cell>
          <cell r="H1391" t="str">
            <v>000000000000000</v>
          </cell>
          <cell r="J1391">
            <v>0</v>
          </cell>
          <cell r="K1391">
            <v>0</v>
          </cell>
          <cell r="L1391">
            <v>0</v>
          </cell>
        </row>
        <row r="1392">
          <cell r="B1392" t="str">
            <v>BASU12AC</v>
          </cell>
          <cell r="C1392" t="str">
            <v>Sumber Tani, UD/Basuni</v>
          </cell>
          <cell r="D1392" t="str">
            <v>Yosi Aryani</v>
          </cell>
          <cell r="E1392" t="str">
            <v>Dusun Badegan, RT.010/RW.003, Kel. Ngambon, Kec. Ngambon</v>
          </cell>
          <cell r="F1392" t="str">
            <v>Bojonegoro</v>
          </cell>
          <cell r="G1392" t="str">
            <v>3315145304910004</v>
          </cell>
          <cell r="H1392" t="str">
            <v>000000000000000</v>
          </cell>
          <cell r="J1392">
            <v>0</v>
          </cell>
          <cell r="K1392">
            <v>0</v>
          </cell>
          <cell r="L1392">
            <v>0</v>
          </cell>
        </row>
        <row r="1393">
          <cell r="B1393" t="str">
            <v>BASU13AC</v>
          </cell>
          <cell r="C1393" t="str">
            <v>Sumber Tani, UD/Basuni</v>
          </cell>
          <cell r="D1393" t="str">
            <v>M. Ali Imron</v>
          </cell>
          <cell r="E1393" t="str">
            <v>Kalicilik, RT.005/RW.002, Kel. Kalicilik, Kec. Sukosewu</v>
          </cell>
          <cell r="F1393" t="str">
            <v>Bojonegoro</v>
          </cell>
          <cell r="G1393" t="str">
            <v>3522240110740001</v>
          </cell>
          <cell r="H1393" t="str">
            <v>000000000000000</v>
          </cell>
          <cell r="J1393">
            <v>0</v>
          </cell>
          <cell r="K1393">
            <v>0</v>
          </cell>
          <cell r="L1393">
            <v>0</v>
          </cell>
        </row>
        <row r="1394">
          <cell r="B1394" t="str">
            <v>KHO02AC</v>
          </cell>
          <cell r="C1394" t="str">
            <v>Sumber Tani/Kho Hie</v>
          </cell>
          <cell r="D1394" t="str">
            <v>Putut Titus K</v>
          </cell>
          <cell r="E1394" t="str">
            <v>Jl. Dewi Sartika GG 1A No.7, RT.009/RW.009, Kel. Temas, Kec. Batu</v>
          </cell>
          <cell r="F1394" t="str">
            <v>Batu</v>
          </cell>
          <cell r="G1394" t="str">
            <v>3579013108890003</v>
          </cell>
          <cell r="H1394" t="str">
            <v>000000000000000</v>
          </cell>
          <cell r="J1394">
            <v>0</v>
          </cell>
          <cell r="K1394">
            <v>0</v>
          </cell>
          <cell r="L1394">
            <v>0</v>
          </cell>
        </row>
        <row r="1395">
          <cell r="B1395" t="str">
            <v>KHO03AC</v>
          </cell>
          <cell r="C1395" t="str">
            <v>Sumber Tani/Kho Hie</v>
          </cell>
          <cell r="D1395" t="str">
            <v>Joko Utomo</v>
          </cell>
          <cell r="E1395" t="str">
            <v>Jl. Kelud No. 08, RT.002/RW.011, Kel. Sisir, Kec. Batu</v>
          </cell>
          <cell r="F1395" t="str">
            <v>Batu</v>
          </cell>
          <cell r="G1395" t="str">
            <v>3579013108860007</v>
          </cell>
          <cell r="H1395" t="str">
            <v>000000000000000</v>
          </cell>
          <cell r="J1395">
            <v>0</v>
          </cell>
          <cell r="K1395">
            <v>0</v>
          </cell>
          <cell r="L1395">
            <v>0</v>
          </cell>
        </row>
        <row r="1396">
          <cell r="B1396" t="str">
            <v>KHO04AC</v>
          </cell>
          <cell r="C1396" t="str">
            <v>Sumber Tani/Kho Hie</v>
          </cell>
          <cell r="D1396" t="str">
            <v>Susan Alvionita</v>
          </cell>
          <cell r="E1396" t="str">
            <v>Jl. Kelud No.08, RT.002/RW.011, Kel. Sisir, Kec. Batu</v>
          </cell>
          <cell r="F1396" t="str">
            <v>Batu</v>
          </cell>
          <cell r="G1396" t="str">
            <v>3579016302930001</v>
          </cell>
          <cell r="H1396" t="str">
            <v>000000000000000</v>
          </cell>
          <cell r="J1396">
            <v>0</v>
          </cell>
          <cell r="K1396">
            <v>0</v>
          </cell>
          <cell r="L1396">
            <v>0</v>
          </cell>
        </row>
        <row r="1397">
          <cell r="B1397" t="str">
            <v>KHO05AC</v>
          </cell>
          <cell r="C1397" t="str">
            <v>Sumber Tani/Kho Hie</v>
          </cell>
          <cell r="D1397" t="str">
            <v>Selvi Anggreani W</v>
          </cell>
          <cell r="E1397" t="str">
            <v>Sumbersari, RT.004/RW.006, Kel. Sumberejo, Kec. Batu</v>
          </cell>
          <cell r="F1397" t="str">
            <v>Batu</v>
          </cell>
          <cell r="G1397" t="str">
            <v>3579014403850002</v>
          </cell>
          <cell r="H1397" t="str">
            <v>000000000000000</v>
          </cell>
          <cell r="J1397">
            <v>0</v>
          </cell>
          <cell r="K1397">
            <v>0</v>
          </cell>
          <cell r="L1397">
            <v>0</v>
          </cell>
        </row>
        <row r="1398">
          <cell r="B1398" t="str">
            <v>KHO06AC</v>
          </cell>
          <cell r="C1398" t="str">
            <v>Sumber Tani/Kho Hie</v>
          </cell>
          <cell r="D1398" t="str">
            <v>Sutono</v>
          </cell>
          <cell r="E1398" t="str">
            <v>Sumbersari, RT.004/RW.006, Kel. Sumberejo, Kec. Batu</v>
          </cell>
          <cell r="F1398" t="str">
            <v>Batu</v>
          </cell>
          <cell r="G1398" t="str">
            <v>3579011204770011</v>
          </cell>
          <cell r="H1398" t="str">
            <v>000000000000000</v>
          </cell>
          <cell r="J1398">
            <v>0</v>
          </cell>
          <cell r="K1398">
            <v>0</v>
          </cell>
          <cell r="L1398">
            <v>0</v>
          </cell>
        </row>
        <row r="1399">
          <cell r="B1399" t="str">
            <v>KHO07AC</v>
          </cell>
          <cell r="C1399" t="str">
            <v>Sumber Tani/Kho Hie</v>
          </cell>
          <cell r="D1399" t="str">
            <v>Lusiawati</v>
          </cell>
          <cell r="E1399" t="str">
            <v>Jl. Dewi Sartika GG 1A No.7, RT.009/RW.009, Kel. Temas, Kec. Batu</v>
          </cell>
          <cell r="F1399" t="str">
            <v>Batu</v>
          </cell>
          <cell r="G1399" t="str">
            <v>3579015010900004</v>
          </cell>
          <cell r="H1399" t="str">
            <v>000000000000000</v>
          </cell>
          <cell r="J1399">
            <v>0</v>
          </cell>
          <cell r="K1399">
            <v>0</v>
          </cell>
          <cell r="L1399">
            <v>0</v>
          </cell>
        </row>
        <row r="1400">
          <cell r="B1400" t="str">
            <v>ROY 01AC</v>
          </cell>
          <cell r="C1400" t="str">
            <v>Sumber Tani/Roy</v>
          </cell>
          <cell r="D1400" t="str">
            <v>Supriyadi</v>
          </cell>
          <cell r="E1400" t="str">
            <v>Banyuasin Timur, RT.008/RW.002, Kel. Karang Anyar, Kec. Karanganyar</v>
          </cell>
          <cell r="F1400" t="str">
            <v>Ngawi</v>
          </cell>
          <cell r="G1400" t="str">
            <v>3521172203820001</v>
          </cell>
          <cell r="H1400" t="str">
            <v>000000000000000</v>
          </cell>
          <cell r="I1400" t="str">
            <v>Petani</v>
          </cell>
          <cell r="J1400">
            <v>41951999.999966994</v>
          </cell>
          <cell r="K1400">
            <v>0</v>
          </cell>
          <cell r="L1400">
            <v>41951999.999966994</v>
          </cell>
        </row>
        <row r="1401">
          <cell r="B1401" t="str">
            <v>ROY 02AC</v>
          </cell>
          <cell r="C1401" t="str">
            <v>Sumber Tani/Roy</v>
          </cell>
          <cell r="D1401" t="str">
            <v>Lastiyono</v>
          </cell>
          <cell r="E1401" t="str">
            <v>Banyuasin Barat, RT.006/RW.003, Kel. Karang Anyar, Kec. Karanganyar</v>
          </cell>
          <cell r="F1401" t="str">
            <v>Ngawi</v>
          </cell>
          <cell r="G1401" t="str">
            <v>3521170402870001</v>
          </cell>
          <cell r="H1401" t="str">
            <v>000000000000000</v>
          </cell>
          <cell r="I1401" t="str">
            <v>Wiraswasta</v>
          </cell>
          <cell r="J1401">
            <v>29399999.999999966</v>
          </cell>
          <cell r="K1401">
            <v>0</v>
          </cell>
          <cell r="L1401">
            <v>29399999.999999966</v>
          </cell>
        </row>
        <row r="1402">
          <cell r="B1402" t="str">
            <v>ROY 03AC</v>
          </cell>
          <cell r="C1402" t="str">
            <v>Sumber Tani/Roy</v>
          </cell>
          <cell r="D1402" t="str">
            <v>Budi Widodo</v>
          </cell>
          <cell r="E1402" t="str">
            <v>Bendo, RT.001/RW.004, Kel. Karang Anyar, Kec. Karanganyar</v>
          </cell>
          <cell r="F1402" t="str">
            <v>Ngawi</v>
          </cell>
          <cell r="G1402" t="str">
            <v>3521170705770002</v>
          </cell>
          <cell r="H1402" t="str">
            <v>000000000000000</v>
          </cell>
          <cell r="I1402" t="str">
            <v>Wiraswasta</v>
          </cell>
          <cell r="J1402">
            <v>10800000</v>
          </cell>
          <cell r="K1402">
            <v>0</v>
          </cell>
          <cell r="L1402">
            <v>10800000</v>
          </cell>
        </row>
        <row r="1403">
          <cell r="B1403" t="str">
            <v>ROY 04AC</v>
          </cell>
          <cell r="C1403" t="str">
            <v>Sumber Tani/Roy</v>
          </cell>
          <cell r="D1403" t="str">
            <v>Satiran</v>
          </cell>
          <cell r="E1403" t="str">
            <v>Banyuasin Timur, RT007/RW.002, Kel. Karanganyar, Kec. Karanganyar</v>
          </cell>
          <cell r="F1403" t="str">
            <v>Ngawi</v>
          </cell>
          <cell r="G1403" t="str">
            <v>3521120511830004</v>
          </cell>
          <cell r="H1403" t="str">
            <v>000000000000000</v>
          </cell>
          <cell r="I1403" t="str">
            <v>buruh tani</v>
          </cell>
          <cell r="J1403">
            <v>18320000</v>
          </cell>
          <cell r="K1403">
            <v>0</v>
          </cell>
          <cell r="L1403">
            <v>18320000</v>
          </cell>
        </row>
        <row r="1404">
          <cell r="B1404" t="str">
            <v>ROY 05AC</v>
          </cell>
          <cell r="C1404" t="str">
            <v>Sumber Tani/Roy</v>
          </cell>
          <cell r="D1404" t="str">
            <v>Sumiyem</v>
          </cell>
          <cell r="E1404" t="str">
            <v>Banyuasin Timur, RT002/RW.002, Kel. Karanganyar, Kec. Karanganyar</v>
          </cell>
          <cell r="F1404" t="str">
            <v>Ngawi</v>
          </cell>
          <cell r="G1404" t="str">
            <v>3521176702660001</v>
          </cell>
          <cell r="H1404" t="str">
            <v>000000000000000</v>
          </cell>
          <cell r="I1404" t="str">
            <v>IRT</v>
          </cell>
          <cell r="J1404">
            <v>4655999.9995753206</v>
          </cell>
          <cell r="K1404">
            <v>0</v>
          </cell>
          <cell r="L1404">
            <v>4655999.9995753206</v>
          </cell>
        </row>
        <row r="1405">
          <cell r="B1405" t="str">
            <v>ROY 06AC</v>
          </cell>
          <cell r="C1405" t="str">
            <v>Sumber Tani/Roy</v>
          </cell>
          <cell r="D1405" t="str">
            <v>Endang Wahyu Pamungkas</v>
          </cell>
          <cell r="E1405" t="str">
            <v>Banyuasin Barat RT.007/RW.003 , Kel. Karanganyar Kec. Karanganyar</v>
          </cell>
          <cell r="G1405" t="str">
            <v>3521171605020002</v>
          </cell>
          <cell r="H1405" t="str">
            <v>000000000000000</v>
          </cell>
          <cell r="J1405">
            <v>66528000</v>
          </cell>
          <cell r="K1405">
            <v>0</v>
          </cell>
          <cell r="L1405">
            <v>66528000</v>
          </cell>
        </row>
        <row r="1406">
          <cell r="B1406" t="str">
            <v>SUGE11AC</v>
          </cell>
          <cell r="C1406" t="str">
            <v>Sumber Tani/Sugeng</v>
          </cell>
          <cell r="D1406" t="str">
            <v>Supai</v>
          </cell>
          <cell r="E1406" t="str">
            <v>Genengan, RT.011/RW.003, Desa Parangargo, Kec. Wagir</v>
          </cell>
          <cell r="F1406" t="str">
            <v>Malang</v>
          </cell>
          <cell r="G1406" t="str">
            <v>3507210304520001</v>
          </cell>
          <cell r="H1406" t="str">
            <v>000000000000000</v>
          </cell>
          <cell r="I1406" t="str">
            <v>JANGAN DI PAKAI</v>
          </cell>
          <cell r="J1406">
            <v>0</v>
          </cell>
          <cell r="K1406">
            <v>0</v>
          </cell>
          <cell r="L1406">
            <v>0</v>
          </cell>
        </row>
        <row r="1407">
          <cell r="B1407" t="str">
            <v>SUGE12AC</v>
          </cell>
          <cell r="C1407" t="str">
            <v>Sumber Tani/Sugeng</v>
          </cell>
          <cell r="D1407" t="str">
            <v>Ribowo Adi Sutriatmoko</v>
          </cell>
          <cell r="E1407" t="str">
            <v>Sumber Buncis, RT.011/RW.004, Kel. Sonowangi, Kec. Ampelgading</v>
          </cell>
          <cell r="F1407" t="str">
            <v>Malang</v>
          </cell>
          <cell r="G1407" t="str">
            <v>3507062310720001</v>
          </cell>
          <cell r="H1407" t="str">
            <v>000000000000000</v>
          </cell>
          <cell r="I1407" t="str">
            <v>T acak</v>
          </cell>
          <cell r="J1407">
            <v>98359999.999599755</v>
          </cell>
          <cell r="K1407">
            <v>0</v>
          </cell>
          <cell r="L1407">
            <v>98359999.999599755</v>
          </cell>
        </row>
        <row r="1408">
          <cell r="B1408" t="str">
            <v>SUPE01AC</v>
          </cell>
          <cell r="C1408" t="str">
            <v>Super Bagus</v>
          </cell>
          <cell r="D1408" t="str">
            <v>Gusti Ayu Nika U</v>
          </cell>
          <cell r="E1408" t="str">
            <v>Br. Dinas Kawanan, Kel. Bila, Kec. Kubutambahan</v>
          </cell>
          <cell r="F1408" t="str">
            <v>Buleleng</v>
          </cell>
          <cell r="G1408" t="str">
            <v>5108026502910006</v>
          </cell>
          <cell r="H1408" t="str">
            <v>000000000000000</v>
          </cell>
          <cell r="J1408">
            <v>0</v>
          </cell>
          <cell r="K1408">
            <v>0</v>
          </cell>
          <cell r="L1408">
            <v>0</v>
          </cell>
        </row>
        <row r="1409">
          <cell r="B1409" t="str">
            <v>SUPE02AC</v>
          </cell>
          <cell r="C1409" t="str">
            <v>Super Bagus</v>
          </cell>
          <cell r="D1409" t="str">
            <v>I Gusti Made Sama</v>
          </cell>
          <cell r="E1409" t="str">
            <v>Banjar Dinas Bukit Sakti, Kel. Lokapaksa, Kec. Seririt</v>
          </cell>
          <cell r="F1409" t="str">
            <v>Buleleng</v>
          </cell>
          <cell r="G1409" t="str">
            <v>5108023010650004</v>
          </cell>
          <cell r="H1409" t="str">
            <v>000000000000000</v>
          </cell>
          <cell r="J1409">
            <v>0</v>
          </cell>
          <cell r="K1409">
            <v>0</v>
          </cell>
          <cell r="L1409">
            <v>0</v>
          </cell>
        </row>
        <row r="1410">
          <cell r="B1410" t="str">
            <v>SUPE03AC</v>
          </cell>
          <cell r="C1410" t="str">
            <v>Super Bagus</v>
          </cell>
          <cell r="D1410" t="str">
            <v>I Gusti Putu Sumardika</v>
          </cell>
          <cell r="E1410" t="str">
            <v>Banjar Dinas jero Agung, Kel. Lokapaksa, Kec. Seririt</v>
          </cell>
          <cell r="F1410" t="str">
            <v>Buleleng</v>
          </cell>
          <cell r="G1410" t="str">
            <v>5108021707790007</v>
          </cell>
          <cell r="H1410" t="str">
            <v>000000000000000</v>
          </cell>
          <cell r="J1410">
            <v>0</v>
          </cell>
          <cell r="K1410">
            <v>0</v>
          </cell>
          <cell r="L1410">
            <v>0</v>
          </cell>
        </row>
        <row r="1411">
          <cell r="B1411" t="str">
            <v>SURY01AC</v>
          </cell>
          <cell r="C1411" t="str">
            <v>Surya Mandiri Utama, CV</v>
          </cell>
          <cell r="D1411" t="str">
            <v>Sopian.S.P. M.SC</v>
          </cell>
          <cell r="E1411" t="str">
            <v>Jl. Sunan Muria No.14 Jaban, RT.001/RW.025, Kel. Sinduharjo, Kec. Ngaglik</v>
          </cell>
          <cell r="F1411" t="str">
            <v>Jember</v>
          </cell>
          <cell r="G1411" t="str">
            <v>3404122612820006</v>
          </cell>
          <cell r="H1411" t="str">
            <v>000000000000000</v>
          </cell>
          <cell r="I1411" t="str">
            <v>Petugas Buka nota An : Surya Mandiri Utama tp kiosnya tidak mau, KTP acak an Petugas</v>
          </cell>
          <cell r="J1411">
            <v>0</v>
          </cell>
          <cell r="K1411">
            <v>0</v>
          </cell>
          <cell r="L1411">
            <v>0</v>
          </cell>
        </row>
        <row r="1412">
          <cell r="B1412" t="str">
            <v>SUYI02AC</v>
          </cell>
          <cell r="C1412" t="str">
            <v>Suyitno</v>
          </cell>
          <cell r="D1412" t="str">
            <v>Yeni Astutik</v>
          </cell>
          <cell r="E1412" t="str">
            <v>Dsn. Krajan, RT.006/RW.001, Kel. Sanenrejo, Kec. Tempurejo</v>
          </cell>
          <cell r="F1412" t="str">
            <v>Jember</v>
          </cell>
          <cell r="G1412" t="str">
            <v>3509185206950001</v>
          </cell>
          <cell r="H1412" t="str">
            <v>000000000000000</v>
          </cell>
          <cell r="J1412">
            <v>0</v>
          </cell>
          <cell r="K1412">
            <v>0</v>
          </cell>
          <cell r="L1412">
            <v>0</v>
          </cell>
        </row>
        <row r="1413">
          <cell r="B1413" t="str">
            <v>SUYI03AC</v>
          </cell>
          <cell r="C1413" t="str">
            <v>Suyitno</v>
          </cell>
          <cell r="D1413" t="str">
            <v>Didin Enggar Widiatama</v>
          </cell>
          <cell r="E1413" t="str">
            <v>Dsn. Krajan, RT.006/RW.001, Kel. Sanenrejo, Kec. Tempurejo</v>
          </cell>
          <cell r="F1413" t="str">
            <v>Jember</v>
          </cell>
          <cell r="G1413" t="str">
            <v>3509182310960001</v>
          </cell>
          <cell r="H1413" t="str">
            <v>000000000000000</v>
          </cell>
          <cell r="J1413">
            <v>0</v>
          </cell>
          <cell r="K1413">
            <v>0</v>
          </cell>
          <cell r="L1413">
            <v>0</v>
          </cell>
        </row>
        <row r="1414">
          <cell r="B1414" t="str">
            <v>SUYI04AC</v>
          </cell>
          <cell r="C1414" t="str">
            <v>Suyitno</v>
          </cell>
          <cell r="D1414" t="str">
            <v>Sugiono</v>
          </cell>
          <cell r="E1414" t="str">
            <v>Dsn. Krajan, RT.006/RW.001, Kel. Sanenrejo, Kec. Tempurejo</v>
          </cell>
          <cell r="F1414" t="str">
            <v>Jember</v>
          </cell>
          <cell r="G1414" t="str">
            <v>3509181908720002</v>
          </cell>
          <cell r="H1414" t="str">
            <v>000000000000000</v>
          </cell>
          <cell r="J1414">
            <v>0</v>
          </cell>
          <cell r="K1414">
            <v>0</v>
          </cell>
          <cell r="L1414">
            <v>0</v>
          </cell>
        </row>
        <row r="1415">
          <cell r="B1415" t="str">
            <v>SUYI05AC</v>
          </cell>
          <cell r="C1415" t="str">
            <v>Suyitno</v>
          </cell>
          <cell r="D1415" t="str">
            <v>Jeje Sunday Awan</v>
          </cell>
          <cell r="E1415" t="str">
            <v>Dsn. Krajan, RT.006/RW.001, Kel. Sanenrejo, Kec. Tempurejo</v>
          </cell>
          <cell r="F1415" t="str">
            <v>Jember</v>
          </cell>
          <cell r="G1415" t="str">
            <v>3509182804020002</v>
          </cell>
          <cell r="H1415" t="str">
            <v>000000000000000</v>
          </cell>
          <cell r="J1415">
            <v>0</v>
          </cell>
          <cell r="K1415">
            <v>0</v>
          </cell>
          <cell r="L1415">
            <v>0</v>
          </cell>
        </row>
        <row r="1416">
          <cell r="B1416" t="str">
            <v>SUYI06AC</v>
          </cell>
          <cell r="C1416" t="str">
            <v>Suyitno</v>
          </cell>
          <cell r="D1416" t="str">
            <v>Ayu Firma</v>
          </cell>
          <cell r="E1416" t="str">
            <v>Dsn. Krajan, RT.006/RW.001, Kel. Sanenrejo, Kec. Tempurejo</v>
          </cell>
          <cell r="F1416" t="str">
            <v>Jember</v>
          </cell>
          <cell r="G1416" t="str">
            <v>3509185903990001</v>
          </cell>
          <cell r="H1416" t="str">
            <v>000000000000000</v>
          </cell>
          <cell r="J1416">
            <v>0</v>
          </cell>
          <cell r="K1416">
            <v>0</v>
          </cell>
          <cell r="L1416">
            <v>0</v>
          </cell>
        </row>
        <row r="1417">
          <cell r="B1417" t="str">
            <v>SUYI07AC</v>
          </cell>
          <cell r="C1417" t="str">
            <v>Suyitno</v>
          </cell>
          <cell r="D1417" t="str">
            <v>Agus Purnomo</v>
          </cell>
          <cell r="E1417" t="str">
            <v>Dsn. Krajan, RT.004/RW.001, Kel. Sanenrejo, Kec. Tempurejo</v>
          </cell>
          <cell r="F1417" t="str">
            <v>Jember</v>
          </cell>
          <cell r="G1417" t="str">
            <v>3509182808890002</v>
          </cell>
          <cell r="H1417" t="str">
            <v>000000000000000</v>
          </cell>
          <cell r="J1417">
            <v>0</v>
          </cell>
          <cell r="K1417">
            <v>0</v>
          </cell>
          <cell r="L1417">
            <v>0</v>
          </cell>
        </row>
        <row r="1418">
          <cell r="B1418" t="str">
            <v>HARA01AC</v>
          </cell>
          <cell r="C1418" t="str">
            <v>Tani Harapan, UD/Darwis</v>
          </cell>
          <cell r="D1418" t="str">
            <v>Syarfuddin</v>
          </cell>
          <cell r="E1418" t="str">
            <v>Dusun Rade, RT.005/RW.003, Kel. Kalampa, Kec. Woha</v>
          </cell>
          <cell r="F1418" t="str">
            <v>Bima</v>
          </cell>
          <cell r="G1418" t="str">
            <v>5206030107771211</v>
          </cell>
          <cell r="H1418" t="str">
            <v>000000000000000</v>
          </cell>
          <cell r="J1418">
            <v>0</v>
          </cell>
          <cell r="K1418">
            <v>0</v>
          </cell>
          <cell r="L1418">
            <v>0</v>
          </cell>
        </row>
        <row r="1419">
          <cell r="B1419" t="str">
            <v>HARA02AC</v>
          </cell>
          <cell r="C1419" t="str">
            <v>Tani Harapan, UD/Darwis</v>
          </cell>
          <cell r="D1419" t="str">
            <v>Ibrahim</v>
          </cell>
          <cell r="E1419" t="str">
            <v>Dusun Sari, Kec. Kalampa, Kec. Woha</v>
          </cell>
          <cell r="F1419" t="str">
            <v>Bima</v>
          </cell>
          <cell r="G1419" t="str">
            <v>5206032502741002</v>
          </cell>
          <cell r="H1419" t="str">
            <v>000000000000000</v>
          </cell>
          <cell r="J1419">
            <v>0</v>
          </cell>
          <cell r="K1419">
            <v>0</v>
          </cell>
          <cell r="L1419">
            <v>0</v>
          </cell>
        </row>
        <row r="1420">
          <cell r="B1420" t="str">
            <v>HARA03AC</v>
          </cell>
          <cell r="C1420" t="str">
            <v>Tani Harapan, UD/Darwis</v>
          </cell>
          <cell r="D1420" t="str">
            <v>Arasul</v>
          </cell>
          <cell r="E1420" t="str">
            <v>Kalampa, Woha</v>
          </cell>
          <cell r="F1420" t="str">
            <v>Bima</v>
          </cell>
          <cell r="G1420" t="str">
            <v>5206030510701008</v>
          </cell>
          <cell r="H1420" t="str">
            <v>000000000000000</v>
          </cell>
          <cell r="J1420">
            <v>0</v>
          </cell>
          <cell r="K1420">
            <v>0</v>
          </cell>
          <cell r="L1420">
            <v>0</v>
          </cell>
        </row>
        <row r="1421">
          <cell r="B1421" t="str">
            <v>HARA04AC</v>
          </cell>
          <cell r="C1421" t="str">
            <v>Tani Harapan, UD/Darwis</v>
          </cell>
          <cell r="D1421" t="str">
            <v>Dakhlan</v>
          </cell>
          <cell r="E1421" t="str">
            <v>Dusun Rade, RT.007/RW.004, Kel. Kalampa, Kec. Woha</v>
          </cell>
          <cell r="F1421" t="str">
            <v>Bima</v>
          </cell>
          <cell r="G1421" t="str">
            <v>5206032604870003</v>
          </cell>
          <cell r="H1421" t="str">
            <v>000000000000000</v>
          </cell>
          <cell r="J1421">
            <v>0</v>
          </cell>
          <cell r="K1421">
            <v>0</v>
          </cell>
          <cell r="L1421">
            <v>0</v>
          </cell>
        </row>
        <row r="1422">
          <cell r="B1422" t="str">
            <v>HARA05AC</v>
          </cell>
          <cell r="C1422" t="str">
            <v>Tani Harapan, UD/Darwis</v>
          </cell>
          <cell r="D1422" t="str">
            <v>Sulaiman</v>
          </cell>
          <cell r="E1422" t="str">
            <v>Dusun Rade, RT.007/RW.004, Kel. Kalampa, Kec. Woha</v>
          </cell>
          <cell r="F1422" t="str">
            <v>Bima</v>
          </cell>
          <cell r="G1422" t="str">
            <v>5206030107651186</v>
          </cell>
          <cell r="H1422" t="str">
            <v>000000000000000</v>
          </cell>
          <cell r="J1422">
            <v>0</v>
          </cell>
          <cell r="K1422">
            <v>0</v>
          </cell>
          <cell r="L1422">
            <v>0</v>
          </cell>
        </row>
        <row r="1423">
          <cell r="B1423" t="str">
            <v>HARA06AC</v>
          </cell>
          <cell r="C1423" t="str">
            <v>Tani Harapan, UD/Darwis</v>
          </cell>
          <cell r="D1423" t="str">
            <v>Ramli</v>
          </cell>
          <cell r="E1423" t="str">
            <v>Dusun Rade, Kel. Kalampa, Kec. Woha</v>
          </cell>
          <cell r="F1423" t="str">
            <v>Bima</v>
          </cell>
          <cell r="G1423" t="str">
            <v>5206030405860002</v>
          </cell>
          <cell r="H1423" t="str">
            <v>000000000000000</v>
          </cell>
          <cell r="J1423">
            <v>0</v>
          </cell>
          <cell r="K1423">
            <v>0</v>
          </cell>
          <cell r="L1423">
            <v>0</v>
          </cell>
        </row>
        <row r="1424">
          <cell r="B1424" t="str">
            <v>HARA07AC</v>
          </cell>
          <cell r="C1424" t="str">
            <v>Tani Harapan, UD/Darwis</v>
          </cell>
          <cell r="D1424" t="str">
            <v>Aswad</v>
          </cell>
          <cell r="E1424" t="str">
            <v>Dusun Sari, Kel. Kalampa, Kec. Woha</v>
          </cell>
          <cell r="F1424" t="str">
            <v>Bima</v>
          </cell>
          <cell r="G1424" t="str">
            <v>5206031505770002</v>
          </cell>
          <cell r="H1424" t="str">
            <v>000000000000000</v>
          </cell>
          <cell r="J1424">
            <v>0</v>
          </cell>
          <cell r="K1424">
            <v>0</v>
          </cell>
          <cell r="L1424">
            <v>0</v>
          </cell>
        </row>
        <row r="1425">
          <cell r="B1425" t="str">
            <v>HARA08AC</v>
          </cell>
          <cell r="C1425" t="str">
            <v>Tani Harapan, UD/Darwis</v>
          </cell>
          <cell r="D1425" t="str">
            <v>Burhan</v>
          </cell>
          <cell r="E1425" t="str">
            <v>Dusun Rangga, RT.001/RW.001, Kel. Kalampa, Kec. Woha</v>
          </cell>
          <cell r="F1425" t="str">
            <v>Bima</v>
          </cell>
          <cell r="G1425" t="str">
            <v>5206030207760002</v>
          </cell>
          <cell r="H1425" t="str">
            <v>000000000000000</v>
          </cell>
          <cell r="J1425">
            <v>0</v>
          </cell>
          <cell r="K1425">
            <v>0</v>
          </cell>
          <cell r="L1425">
            <v>0</v>
          </cell>
        </row>
        <row r="1426">
          <cell r="B1426" t="str">
            <v>AFUK01AC</v>
          </cell>
          <cell r="C1426" t="str">
            <v>Tani Jaya/Afuk</v>
          </cell>
          <cell r="D1426" t="str">
            <v>Miswari</v>
          </cell>
          <cell r="E1426" t="str">
            <v>Kidul Kali, RT.006/RW.002, Kel. Locare, Kec. Curahdami</v>
          </cell>
          <cell r="F1426" t="str">
            <v>Bondowoso</v>
          </cell>
          <cell r="G1426" t="str">
            <v>3511071604690001</v>
          </cell>
          <cell r="H1426" t="str">
            <v>000000000000000</v>
          </cell>
          <cell r="I1426" t="str">
            <v>Tani Jaya/Afuk = Wahyudi Harsono</v>
          </cell>
          <cell r="J1426">
            <v>35352000</v>
          </cell>
          <cell r="K1426">
            <v>0</v>
          </cell>
          <cell r="L1426">
            <v>35352000</v>
          </cell>
        </row>
        <row r="1427">
          <cell r="B1427" t="str">
            <v>AFUK02AC</v>
          </cell>
          <cell r="C1427" t="str">
            <v>Tani Jaya/Afuk</v>
          </cell>
          <cell r="D1427" t="str">
            <v>Didik</v>
          </cell>
          <cell r="E1427" t="str">
            <v>Klabang Agung, RT.002/RW.002, Kel. Klabang Agung, Kec. Tegalampel</v>
          </cell>
          <cell r="F1427" t="str">
            <v>Bondowoso</v>
          </cell>
          <cell r="G1427" t="str">
            <v>3511131110790002</v>
          </cell>
          <cell r="H1427" t="str">
            <v>000000000000000</v>
          </cell>
          <cell r="I1427" t="str">
            <v>Tani Jaya/Afuk ( Faktur T acak )</v>
          </cell>
          <cell r="J1427">
            <v>27168000</v>
          </cell>
          <cell r="K1427">
            <v>0</v>
          </cell>
          <cell r="L1427">
            <v>27168000</v>
          </cell>
        </row>
        <row r="1428">
          <cell r="B1428" t="str">
            <v>AFUK03AC</v>
          </cell>
          <cell r="C1428" t="str">
            <v>Tani Jaya/Afuk</v>
          </cell>
          <cell r="D1428" t="str">
            <v>Zaenol Rahman</v>
          </cell>
          <cell r="E1428" t="str">
            <v>Ds. Karang Anyar, RT.013/RW.004, Kel. Karang Anyar, Kec. Tegalampel</v>
          </cell>
          <cell r="F1428" t="str">
            <v>Bondowoso</v>
          </cell>
          <cell r="G1428" t="str">
            <v>3511130107860003</v>
          </cell>
          <cell r="H1428" t="str">
            <v>000000000000000</v>
          </cell>
          <cell r="J1428">
            <v>46219999.999994501</v>
          </cell>
          <cell r="K1428">
            <v>0</v>
          </cell>
          <cell r="L1428">
            <v>46219999.999994501</v>
          </cell>
        </row>
        <row r="1429">
          <cell r="B1429" t="str">
            <v>AFUK04AC</v>
          </cell>
          <cell r="C1429" t="str">
            <v>Tani Jaya/Afuk</v>
          </cell>
          <cell r="D1429" t="str">
            <v>Abd Razak</v>
          </cell>
          <cell r="E1429" t="str">
            <v>Desa Klabang Agung, RT.002/RW.002, Kel. Klabang Agung, Kec. Tegalampel</v>
          </cell>
          <cell r="F1429" t="str">
            <v>Bondowoso</v>
          </cell>
          <cell r="G1429" t="str">
            <v>3511132912680002</v>
          </cell>
          <cell r="H1429" t="str">
            <v>000000000000000</v>
          </cell>
          <cell r="J1429">
            <v>62344000</v>
          </cell>
          <cell r="K1429">
            <v>0</v>
          </cell>
          <cell r="L1429">
            <v>62344000</v>
          </cell>
        </row>
        <row r="1430">
          <cell r="B1430" t="str">
            <v>AFUK05AC</v>
          </cell>
          <cell r="C1430" t="str">
            <v>Tani Jaya/Afuk</v>
          </cell>
          <cell r="D1430" t="str">
            <v>Sumawe</v>
          </cell>
          <cell r="E1430" t="str">
            <v>Sumbercanting, RT.004/RW.002, Kel. Sumbercanting, Kec. Botolinggo</v>
          </cell>
          <cell r="F1430" t="str">
            <v>Bondowoso</v>
          </cell>
          <cell r="G1430" t="str">
            <v>3511145306500005</v>
          </cell>
          <cell r="H1430" t="str">
            <v>000000000000000</v>
          </cell>
          <cell r="J1430">
            <v>35715999.999909997</v>
          </cell>
          <cell r="K1430">
            <v>0</v>
          </cell>
          <cell r="L1430">
            <v>35715999.999909997</v>
          </cell>
        </row>
        <row r="1431">
          <cell r="B1431" t="str">
            <v>AFUK06AC</v>
          </cell>
          <cell r="C1431" t="str">
            <v>Tani Jaya/Afuk</v>
          </cell>
          <cell r="D1431" t="str">
            <v>Hori</v>
          </cell>
          <cell r="E1431" t="str">
            <v>Sumber Canting, RT.009/RW.005, Kel. Sumbercanting, Kec. Botolinggo</v>
          </cell>
          <cell r="F1431" t="str">
            <v>Bondowoso</v>
          </cell>
          <cell r="G1431" t="str">
            <v>3511141306730001</v>
          </cell>
          <cell r="H1431" t="str">
            <v>000000000000000</v>
          </cell>
          <cell r="J1431">
            <v>38071999.999809504</v>
          </cell>
          <cell r="K1431">
            <v>0</v>
          </cell>
          <cell r="L1431">
            <v>38071999.999809504</v>
          </cell>
        </row>
        <row r="1432">
          <cell r="B1432" t="str">
            <v>AFUK07AC</v>
          </cell>
          <cell r="C1432" t="str">
            <v>Tani Jaya/Afuk</v>
          </cell>
          <cell r="D1432" t="str">
            <v>Hariyanto</v>
          </cell>
          <cell r="E1432" t="str">
            <v>Sumbercanting, RT.001/RW.001, Kel. Sumbercanting, Kec. Botolinggo</v>
          </cell>
          <cell r="F1432" t="str">
            <v>Bondowoso</v>
          </cell>
          <cell r="G1432" t="str">
            <v>3511141906850001</v>
          </cell>
          <cell r="H1432" t="str">
            <v>000000000000000</v>
          </cell>
          <cell r="J1432">
            <v>20005800</v>
          </cell>
          <cell r="K1432">
            <v>0</v>
          </cell>
          <cell r="L1432">
            <v>20005800</v>
          </cell>
        </row>
        <row r="1433">
          <cell r="B1433" t="str">
            <v>AFUK08AC</v>
          </cell>
          <cell r="C1433" t="str">
            <v>Tani Jaya/Afuk</v>
          </cell>
          <cell r="D1433" t="str">
            <v>Miftahul Arifin Billah</v>
          </cell>
          <cell r="E1433" t="str">
            <v>Sumbercanting, RT.006/RW.001, Kel. Sumbercanting, Kec. Botolinggo</v>
          </cell>
          <cell r="F1433" t="str">
            <v>Bondowoso</v>
          </cell>
          <cell r="G1433" t="str">
            <v>3511230907000001</v>
          </cell>
          <cell r="H1433" t="str">
            <v>000000000000000</v>
          </cell>
          <cell r="J1433">
            <v>21703999.999915998</v>
          </cell>
          <cell r="K1433">
            <v>0</v>
          </cell>
          <cell r="L1433">
            <v>21703999.999915998</v>
          </cell>
        </row>
        <row r="1434">
          <cell r="B1434" t="str">
            <v>AFUK09AC</v>
          </cell>
          <cell r="C1434" t="str">
            <v>Tani Jaya/Afuk</v>
          </cell>
          <cell r="D1434" t="str">
            <v>Agung Mohamad Al Diansah</v>
          </cell>
          <cell r="E1434" t="str">
            <v>Sumber Canting, RT.003/RW.001, Kel. Sumbercanting, Kec. Botolinggo</v>
          </cell>
          <cell r="F1434" t="str">
            <v>Bondowoso</v>
          </cell>
          <cell r="G1434" t="str">
            <v>3511142708010001</v>
          </cell>
          <cell r="H1434" t="str">
            <v>000000000000000</v>
          </cell>
          <cell r="J1434">
            <v>8295199.9999640007</v>
          </cell>
          <cell r="K1434">
            <v>0</v>
          </cell>
          <cell r="L1434">
            <v>8295199.9999640007</v>
          </cell>
        </row>
        <row r="1435">
          <cell r="B1435" t="str">
            <v>AFUK10AC</v>
          </cell>
          <cell r="C1435" t="str">
            <v>Tani Jaya/Afuk</v>
          </cell>
          <cell r="D1435" t="str">
            <v>Abdulasir</v>
          </cell>
          <cell r="E1435" t="str">
            <v>Randucangkring, RT.009/RW.002, Kel. Randu Cangkring, Kec. Pujer</v>
          </cell>
          <cell r="F1435" t="str">
            <v>Bondowoso</v>
          </cell>
          <cell r="G1435" t="str">
            <v>3511050304720001</v>
          </cell>
          <cell r="H1435" t="str">
            <v>000000000000000</v>
          </cell>
          <cell r="J1435">
            <v>28024000</v>
          </cell>
          <cell r="K1435">
            <v>0</v>
          </cell>
          <cell r="L1435">
            <v>28024000</v>
          </cell>
        </row>
        <row r="1436">
          <cell r="B1436" t="str">
            <v>AFUK11AC</v>
          </cell>
          <cell r="C1436" t="str">
            <v>Tani Jaya/Afuk</v>
          </cell>
          <cell r="D1436" t="str">
            <v>Anang Budiman Prayitno</v>
          </cell>
          <cell r="E1436" t="str">
            <v>Randu Cangkring, RT.007/RW.001, Kel. Randu Cangkring, Kec. Pujer</v>
          </cell>
          <cell r="F1436" t="str">
            <v>Bondowoso</v>
          </cell>
          <cell r="G1436" t="str">
            <v>3511051703870002</v>
          </cell>
          <cell r="H1436" t="str">
            <v>000000000000000</v>
          </cell>
          <cell r="J1436">
            <v>15312000</v>
          </cell>
          <cell r="K1436">
            <v>0</v>
          </cell>
          <cell r="L1436">
            <v>15312000</v>
          </cell>
        </row>
        <row r="1437">
          <cell r="B1437" t="str">
            <v>AFUK12AC</v>
          </cell>
          <cell r="C1437" t="str">
            <v>Tani Jaya/Afuk</v>
          </cell>
          <cell r="D1437" t="str">
            <v>Abdul Wahid</v>
          </cell>
          <cell r="E1437" t="str">
            <v>Randu Cangkring, RT.005/RW.001, Kel. Randu Cangkring, Kec. Pujer</v>
          </cell>
          <cell r="F1437" t="str">
            <v>Bondowoso</v>
          </cell>
          <cell r="G1437" t="str">
            <v>3511050510950002</v>
          </cell>
          <cell r="H1437" t="str">
            <v>000000000000000</v>
          </cell>
          <cell r="J1437">
            <v>5231999.9999932498</v>
          </cell>
          <cell r="K1437">
            <v>0</v>
          </cell>
          <cell r="L1437">
            <v>5231999.9999932498</v>
          </cell>
        </row>
        <row r="1438">
          <cell r="B1438" t="str">
            <v>AFUK13AC</v>
          </cell>
          <cell r="C1438" t="str">
            <v>Tani Jaya/Afuk</v>
          </cell>
          <cell r="D1438" t="str">
            <v>Rudi Hartono</v>
          </cell>
          <cell r="E1438" t="str">
            <v>Randu Cangkring, RT.008/RW.001, Kel. Randu Cangkring, Kec. Pujer</v>
          </cell>
          <cell r="F1438" t="str">
            <v>Bondowoso</v>
          </cell>
          <cell r="G1438" t="str">
            <v>3511051205950003</v>
          </cell>
          <cell r="H1438" t="str">
            <v>000000000000000</v>
          </cell>
          <cell r="J1438">
            <v>11040000</v>
          </cell>
          <cell r="K1438">
            <v>0</v>
          </cell>
          <cell r="L1438">
            <v>11040000</v>
          </cell>
        </row>
        <row r="1439">
          <cell r="B1439" t="str">
            <v>AFUK14AC</v>
          </cell>
          <cell r="C1439" t="str">
            <v>Tani Jaya/Afuk</v>
          </cell>
          <cell r="D1439" t="str">
            <v>Mabrur</v>
          </cell>
          <cell r="E1439" t="str">
            <v>Jebung Lor, RT.018/RW.002, Kel. Jebung Lor, Kec. Tlogosari</v>
          </cell>
          <cell r="F1439" t="str">
            <v>Bondowoso</v>
          </cell>
          <cell r="G1439" t="str">
            <v>3511032904900002</v>
          </cell>
          <cell r="H1439" t="str">
            <v>000000000000000</v>
          </cell>
          <cell r="J1439">
            <v>2960000</v>
          </cell>
          <cell r="K1439">
            <v>0</v>
          </cell>
          <cell r="L1439">
            <v>2960000</v>
          </cell>
        </row>
        <row r="1440">
          <cell r="B1440" t="str">
            <v>TANI04AC</v>
          </cell>
          <cell r="C1440" t="str">
            <v>Tani Jaya/Erna</v>
          </cell>
          <cell r="D1440" t="str">
            <v>Susi Indrawati</v>
          </cell>
          <cell r="E1440" t="str">
            <v>Dusun Klerek, RT.001/RW.002, Kel. Torongrejo, Kec. Junrejo</v>
          </cell>
          <cell r="F1440" t="str">
            <v>Batu</v>
          </cell>
          <cell r="G1440" t="str">
            <v>3579034209950001</v>
          </cell>
          <cell r="H1440" t="str">
            <v>000000000000000</v>
          </cell>
          <cell r="I1440" t="str">
            <v>LP per 29/11/22 info mbak Umi, by mbak Nia</v>
          </cell>
          <cell r="J1440">
            <v>0</v>
          </cell>
          <cell r="K1440">
            <v>0</v>
          </cell>
          <cell r="L1440">
            <v>0</v>
          </cell>
        </row>
        <row r="1441">
          <cell r="B1441" t="str">
            <v>TANI05AC</v>
          </cell>
          <cell r="C1441" t="str">
            <v>Tani Jaya/Erna</v>
          </cell>
          <cell r="D1441" t="str">
            <v>Krismiati</v>
          </cell>
          <cell r="E1441" t="str">
            <v>Dusun Klerek, RT.001/RW.002, Kel. Torongrejo, Kec. Junrejo</v>
          </cell>
          <cell r="F1441" t="str">
            <v>Batu</v>
          </cell>
          <cell r="G1441" t="str">
            <v>3579036601940001</v>
          </cell>
          <cell r="H1441" t="str">
            <v>000000000000000</v>
          </cell>
          <cell r="J1441">
            <v>0</v>
          </cell>
          <cell r="K1441">
            <v>0</v>
          </cell>
          <cell r="L1441">
            <v>0</v>
          </cell>
        </row>
        <row r="1442">
          <cell r="B1442" t="str">
            <v>TANI06AC</v>
          </cell>
          <cell r="C1442" t="str">
            <v>Tani Jaya/Erna</v>
          </cell>
          <cell r="D1442" t="str">
            <v>Rizqi Apriliya</v>
          </cell>
          <cell r="E1442" t="str">
            <v>Langlang, RT.004/RW004, Kel. Lang-Lang, Kec. Singosari</v>
          </cell>
          <cell r="F1442" t="str">
            <v>Malang</v>
          </cell>
          <cell r="G1442" t="str">
            <v>3507245304970006</v>
          </cell>
          <cell r="H1442" t="str">
            <v>000000000000000</v>
          </cell>
          <cell r="J1442">
            <v>0</v>
          </cell>
          <cell r="K1442">
            <v>0</v>
          </cell>
          <cell r="L1442">
            <v>0</v>
          </cell>
        </row>
        <row r="1443">
          <cell r="B1443" t="str">
            <v>TANI07AC</v>
          </cell>
          <cell r="C1443" t="str">
            <v>Tani Jaya/Erna</v>
          </cell>
          <cell r="D1443" t="str">
            <v>Muliati</v>
          </cell>
          <cell r="E1443" t="str">
            <v>Dusun Klerek, RT.001/RW.002, Kel. Torongrejo, Kec. Junrejo</v>
          </cell>
          <cell r="F1443" t="str">
            <v>Batu</v>
          </cell>
          <cell r="G1443" t="str">
            <v>3579034802770001</v>
          </cell>
          <cell r="H1443" t="str">
            <v>000000000000000</v>
          </cell>
          <cell r="J1443">
            <v>0</v>
          </cell>
          <cell r="K1443">
            <v>0</v>
          </cell>
          <cell r="L1443">
            <v>0</v>
          </cell>
        </row>
        <row r="1444">
          <cell r="B1444" t="str">
            <v>TANI08AC</v>
          </cell>
          <cell r="C1444" t="str">
            <v>Tani Jaya/Erna</v>
          </cell>
          <cell r="D1444" t="str">
            <v>Ilham Ramadhana S</v>
          </cell>
          <cell r="E1444" t="str">
            <v>Jl. Segaran Dusun Karanglo, RT.004/RW.010, Kel. Banjararum, Kec. Singosari</v>
          </cell>
          <cell r="F1444" t="str">
            <v>Malang</v>
          </cell>
          <cell r="G1444" t="str">
            <v>3507242001970002</v>
          </cell>
          <cell r="H1444" t="str">
            <v>000000000000000</v>
          </cell>
          <cell r="J1444">
            <v>0</v>
          </cell>
          <cell r="K1444">
            <v>0</v>
          </cell>
          <cell r="L1444">
            <v>0</v>
          </cell>
        </row>
        <row r="1445">
          <cell r="B1445" t="str">
            <v>TANI09AC</v>
          </cell>
          <cell r="C1445" t="str">
            <v>Tani Jaya/Erna</v>
          </cell>
          <cell r="D1445" t="str">
            <v>Adianto</v>
          </cell>
          <cell r="E1445" t="str">
            <v>Dusun Klerek, RT.001/RW.002, Kel. Torongrejo, Kec. Junrejo</v>
          </cell>
          <cell r="F1445" t="str">
            <v>Batu</v>
          </cell>
          <cell r="G1445" t="str">
            <v>3579032607850001</v>
          </cell>
          <cell r="H1445" t="str">
            <v>000000000000000</v>
          </cell>
          <cell r="J1445">
            <v>0</v>
          </cell>
          <cell r="K1445">
            <v>0</v>
          </cell>
          <cell r="L1445">
            <v>0</v>
          </cell>
        </row>
        <row r="1446">
          <cell r="B1446" t="str">
            <v>SYAI01AC</v>
          </cell>
          <cell r="C1446" t="str">
            <v>Tani Makmur/Syain</v>
          </cell>
          <cell r="D1446" t="str">
            <v>M. Taufiq</v>
          </cell>
          <cell r="E1446" t="str">
            <v>Klagensrampat, RT.003/RW.001, Kel. Klagensrampat, Kec. Maduran</v>
          </cell>
          <cell r="F1446" t="str">
            <v>Lamongan</v>
          </cell>
          <cell r="G1446" t="str">
            <v>3524101911820002</v>
          </cell>
          <cell r="H1446" t="str">
            <v>000000000000000</v>
          </cell>
          <cell r="J1446">
            <v>198588799.99892449</v>
          </cell>
          <cell r="K1446">
            <v>0</v>
          </cell>
          <cell r="L1446">
            <v>198588799.99892449</v>
          </cell>
        </row>
        <row r="1447">
          <cell r="B1447" t="str">
            <v>SYAI02AC</v>
          </cell>
          <cell r="C1447" t="str">
            <v>Tani Makmur/Syain</v>
          </cell>
          <cell r="D1447" t="str">
            <v>Mispan</v>
          </cell>
          <cell r="E1447" t="str">
            <v>Klagensrampat, RT.005/RW.001, Kel. Klagensrampat, Kec. Maduran</v>
          </cell>
          <cell r="F1447" t="str">
            <v>Lamongan</v>
          </cell>
          <cell r="G1447" t="str">
            <v>3524102306860001</v>
          </cell>
          <cell r="H1447" t="str">
            <v>000000000000000</v>
          </cell>
          <cell r="I1447" t="str">
            <v>di pakai ke nota D23006892 ( 21/7/2023 )</v>
          </cell>
          <cell r="J1447">
            <v>166198399.99899802</v>
          </cell>
          <cell r="K1447">
            <v>0</v>
          </cell>
          <cell r="L1447">
            <v>166198399.99899802</v>
          </cell>
        </row>
        <row r="1448">
          <cell r="B1448" t="str">
            <v>SYAI03AC</v>
          </cell>
          <cell r="C1448" t="str">
            <v>Tani Makmur/Syain</v>
          </cell>
          <cell r="D1448" t="str">
            <v>Sunardi</v>
          </cell>
          <cell r="E1448" t="str">
            <v>Sampangan, RT.002/RW.004, Kel. Tukkerto, Kec. Deket</v>
          </cell>
          <cell r="F1448" t="str">
            <v>Lamongan</v>
          </cell>
          <cell r="G1448" t="str">
            <v>3524251503660001</v>
          </cell>
          <cell r="H1448" t="str">
            <v>000000000000000</v>
          </cell>
          <cell r="J1448">
            <v>158846239.99950323</v>
          </cell>
          <cell r="K1448">
            <v>0</v>
          </cell>
          <cell r="L1448">
            <v>158846239.99950323</v>
          </cell>
        </row>
        <row r="1449">
          <cell r="B1449" t="str">
            <v>SYAI04AC</v>
          </cell>
          <cell r="C1449" t="str">
            <v>Tani Makmur/Syain</v>
          </cell>
          <cell r="D1449" t="str">
            <v>Moch. Mujib Ridwan</v>
          </cell>
          <cell r="E1449" t="str">
            <v>Semampir, RT.004/RW.001, Kel. Sidomulyo, Kec. Modo</v>
          </cell>
          <cell r="F1449" t="str">
            <v>Lamongan</v>
          </cell>
          <cell r="G1449" t="str">
            <v>3524031002720001</v>
          </cell>
          <cell r="H1449" t="str">
            <v>000000000000000</v>
          </cell>
          <cell r="J1449">
            <v>170443839.99849483</v>
          </cell>
          <cell r="K1449">
            <v>0</v>
          </cell>
          <cell r="L1449">
            <v>170443839.99849483</v>
          </cell>
        </row>
        <row r="1450">
          <cell r="B1450" t="str">
            <v>SYAI05AC</v>
          </cell>
          <cell r="C1450" t="str">
            <v>Tani Makmur/Syain</v>
          </cell>
          <cell r="D1450" t="str">
            <v>Didik Purnomo</v>
          </cell>
          <cell r="E1450" t="str">
            <v>Ledok, RT.004/RW.007, Kel. Pule, Kec. Modo</v>
          </cell>
          <cell r="F1450" t="str">
            <v>Lamongan</v>
          </cell>
          <cell r="G1450" t="str">
            <v>3524032208800001</v>
          </cell>
          <cell r="H1450" t="str">
            <v>000000000000000</v>
          </cell>
          <cell r="J1450">
            <v>175509439.99959794</v>
          </cell>
          <cell r="K1450">
            <v>0</v>
          </cell>
          <cell r="L1450">
            <v>175509439.99959794</v>
          </cell>
        </row>
        <row r="1451">
          <cell r="B1451" t="str">
            <v>SYAI06AC</v>
          </cell>
          <cell r="C1451" t="str">
            <v>Tani Makmur/Syain</v>
          </cell>
          <cell r="D1451" t="str">
            <v>Eko Santoso</v>
          </cell>
          <cell r="E1451" t="str">
            <v>Dsn. Pule, RT.002/RW.003, Kel. Oule, Kec. Modo</v>
          </cell>
          <cell r="F1451" t="str">
            <v>Lamongan</v>
          </cell>
          <cell r="G1451" t="str">
            <v>3524032602820002</v>
          </cell>
          <cell r="H1451" t="str">
            <v>000000000000000</v>
          </cell>
          <cell r="J1451">
            <v>177971199.9985534</v>
          </cell>
          <cell r="K1451">
            <v>0</v>
          </cell>
          <cell r="L1451">
            <v>177971199.9985534</v>
          </cell>
        </row>
        <row r="1452">
          <cell r="B1452" t="str">
            <v>SYAI08AC</v>
          </cell>
          <cell r="C1452" t="str">
            <v>Tani Makmur/Syain</v>
          </cell>
          <cell r="D1452" t="str">
            <v>Sumirin</v>
          </cell>
          <cell r="E1452" t="str">
            <v>Karangpilang, RT.005/RW.001, Kel. Kedungrejo, Kec. Modo</v>
          </cell>
          <cell r="F1452" t="str">
            <v>Lamongan</v>
          </cell>
          <cell r="G1452" t="str">
            <v>3524031104770002</v>
          </cell>
          <cell r="H1452" t="str">
            <v>000000000000000</v>
          </cell>
          <cell r="J1452">
            <v>170484799.99965802</v>
          </cell>
          <cell r="K1452">
            <v>0</v>
          </cell>
          <cell r="L1452">
            <v>170484799.99965802</v>
          </cell>
        </row>
        <row r="1453">
          <cell r="B1453" t="str">
            <v>SYAI09AC</v>
          </cell>
          <cell r="C1453" t="str">
            <v>Tani Makmur/Syain</v>
          </cell>
          <cell r="D1453" t="str">
            <v>Sumali</v>
          </cell>
          <cell r="E1453" t="str">
            <v>Landeyan, RT.005/RW.001, Kel. Kedungwaras, Kec. Modo</v>
          </cell>
          <cell r="F1453" t="str">
            <v>Lamongan</v>
          </cell>
          <cell r="G1453" t="str">
            <v>3524030307720001</v>
          </cell>
          <cell r="H1453" t="str">
            <v>000000000000000</v>
          </cell>
          <cell r="J1453">
            <v>175684799.999542</v>
          </cell>
          <cell r="K1453">
            <v>0</v>
          </cell>
          <cell r="L1453">
            <v>175684799.999542</v>
          </cell>
        </row>
        <row r="1454">
          <cell r="B1454" t="str">
            <v>SYAI10AC</v>
          </cell>
          <cell r="C1454" t="str">
            <v>Tani Makmur/Syain</v>
          </cell>
          <cell r="D1454" t="str">
            <v>Tarno</v>
          </cell>
          <cell r="E1454" t="str">
            <v>Karangpilang, RT.001/RW.001, Kel. Kedungrejo, Kec. Modo</v>
          </cell>
          <cell r="F1454" t="str">
            <v>Lamongan</v>
          </cell>
          <cell r="G1454" t="str">
            <v>3524031010580002</v>
          </cell>
          <cell r="H1454" t="str">
            <v>000000000000000</v>
          </cell>
          <cell r="J1454">
            <v>176968799.99946034</v>
          </cell>
          <cell r="K1454">
            <v>0</v>
          </cell>
          <cell r="L1454">
            <v>176968799.99946034</v>
          </cell>
        </row>
        <row r="1455">
          <cell r="B1455" t="str">
            <v>SYAI11AC</v>
          </cell>
          <cell r="C1455" t="str">
            <v>Tani Makmur/Syain</v>
          </cell>
          <cell r="D1455" t="str">
            <v>Sarkam</v>
          </cell>
          <cell r="E1455" t="str">
            <v>Gabang, RT.013/RW.004, Kel. Kedungrejo, Kec. Modo</v>
          </cell>
          <cell r="F1455" t="str">
            <v>Lamongan</v>
          </cell>
          <cell r="G1455" t="str">
            <v>3524030101600007</v>
          </cell>
          <cell r="H1455" t="str">
            <v>000000000000000</v>
          </cell>
          <cell r="J1455">
            <v>160038799.99929041</v>
          </cell>
          <cell r="K1455">
            <v>0</v>
          </cell>
          <cell r="L1455">
            <v>160038799.99929041</v>
          </cell>
        </row>
        <row r="1456">
          <cell r="B1456" t="str">
            <v>SYAI12AC</v>
          </cell>
          <cell r="C1456" t="str">
            <v>Tani Makmur/Syain</v>
          </cell>
          <cell r="D1456" t="str">
            <v>Tasrun</v>
          </cell>
          <cell r="E1456" t="str">
            <v>Karangpilang, RT.004/RW.001, Kel. Kedungrejo, Kec. Modo</v>
          </cell>
          <cell r="F1456" t="str">
            <v>Lamongan</v>
          </cell>
          <cell r="G1456" t="str">
            <v>3524032011570001</v>
          </cell>
          <cell r="H1456" t="str">
            <v>000000000000000</v>
          </cell>
          <cell r="J1456">
            <v>165492799.99926442</v>
          </cell>
          <cell r="K1456">
            <v>0</v>
          </cell>
          <cell r="L1456">
            <v>165492799.99926442</v>
          </cell>
        </row>
        <row r="1457">
          <cell r="B1457" t="str">
            <v>SYAI13AC</v>
          </cell>
          <cell r="C1457" t="str">
            <v>Tani Makmur/Syain</v>
          </cell>
          <cell r="D1457" t="str">
            <v>Sampurno</v>
          </cell>
          <cell r="E1457" t="str">
            <v>Sedah, RT.002/RW.007, Kel. Pule, Kec. Modo</v>
          </cell>
          <cell r="F1457" t="str">
            <v>Lamongan</v>
          </cell>
          <cell r="G1457" t="str">
            <v>3524031307790001</v>
          </cell>
          <cell r="H1457" t="str">
            <v>000000000000000</v>
          </cell>
          <cell r="J1457">
            <v>163140799.9992964</v>
          </cell>
          <cell r="K1457">
            <v>0</v>
          </cell>
          <cell r="L1457">
            <v>163140799.9992964</v>
          </cell>
        </row>
        <row r="1458">
          <cell r="B1458" t="str">
            <v>SYAI14AC</v>
          </cell>
          <cell r="C1458" t="str">
            <v>Tani Makmur/Syain</v>
          </cell>
          <cell r="D1458" t="str">
            <v>Abd Malik</v>
          </cell>
          <cell r="E1458" t="str">
            <v>Semampir, RT.004/RW.001, Kel. Sidomulyo, Kec. Modo</v>
          </cell>
          <cell r="F1458" t="str">
            <v>Lamongan</v>
          </cell>
          <cell r="G1458" t="str">
            <v>3524030706710001</v>
          </cell>
          <cell r="H1458" t="str">
            <v>000000000000000</v>
          </cell>
          <cell r="J1458">
            <v>150187199.9994708</v>
          </cell>
          <cell r="K1458">
            <v>0</v>
          </cell>
          <cell r="L1458">
            <v>150187199.9994708</v>
          </cell>
        </row>
        <row r="1459">
          <cell r="B1459" t="str">
            <v>SYAI16AC</v>
          </cell>
          <cell r="C1459" t="str">
            <v>Tani Makmur/Syain</v>
          </cell>
          <cell r="D1459" t="str">
            <v>Kamim</v>
          </cell>
          <cell r="E1459" t="str">
            <v>Semampir, RT.005/RW.001, Kel. Sidomulyo, Kec. Modo</v>
          </cell>
          <cell r="F1459" t="str">
            <v>Lamongan</v>
          </cell>
          <cell r="G1459" t="str">
            <v>3524031302600002</v>
          </cell>
          <cell r="H1459" t="str">
            <v>000000000000000</v>
          </cell>
          <cell r="J1459">
            <v>153091199.99966097</v>
          </cell>
          <cell r="K1459">
            <v>0</v>
          </cell>
          <cell r="L1459">
            <v>153091199.99966097</v>
          </cell>
        </row>
        <row r="1460">
          <cell r="B1460" t="str">
            <v>SYAI17AC</v>
          </cell>
          <cell r="C1460" t="str">
            <v>Tani Makmur/Syain</v>
          </cell>
          <cell r="D1460" t="str">
            <v>Agus Bambang Suprapto</v>
          </cell>
          <cell r="E1460" t="str">
            <v>Ledok, RT.004/RW.007, Kel. Pule, Kec. Modo</v>
          </cell>
          <cell r="F1460" t="str">
            <v>Lamongan</v>
          </cell>
          <cell r="G1460" t="str">
            <v>3524032202740001</v>
          </cell>
          <cell r="H1460" t="str">
            <v>000000000000000</v>
          </cell>
          <cell r="J1460">
            <v>126835199.9999449</v>
          </cell>
          <cell r="K1460">
            <v>0</v>
          </cell>
          <cell r="L1460">
            <v>126835199.9999449</v>
          </cell>
        </row>
        <row r="1461">
          <cell r="B1461" t="str">
            <v>SYAI18AC</v>
          </cell>
          <cell r="C1461" t="str">
            <v>Tani Makmur/Syain</v>
          </cell>
          <cell r="D1461" t="str">
            <v>Sucipto A.</v>
          </cell>
          <cell r="E1461" t="str">
            <v>Mlaten, RT.001/RW.003, Kel. Kedungpengaron, Kec. Modo</v>
          </cell>
          <cell r="F1461" t="str">
            <v>Lamongan</v>
          </cell>
          <cell r="G1461" t="str">
            <v>3524032504700003</v>
          </cell>
          <cell r="H1461" t="str">
            <v>000000000000000</v>
          </cell>
          <cell r="J1461">
            <v>126155199.99974814</v>
          </cell>
          <cell r="K1461">
            <v>0</v>
          </cell>
          <cell r="L1461">
            <v>126155199.99974814</v>
          </cell>
        </row>
        <row r="1462">
          <cell r="B1462" t="str">
            <v>SYAI19AC</v>
          </cell>
          <cell r="C1462" t="str">
            <v>Tani Makmur/Syain</v>
          </cell>
          <cell r="D1462" t="str">
            <v>Supriyono</v>
          </cell>
          <cell r="E1462" t="str">
            <v>Mlaten, Kel. Kedungpengaron, Kec. Modo</v>
          </cell>
          <cell r="F1462" t="str">
            <v>Lamongan</v>
          </cell>
          <cell r="G1462" t="str">
            <v>3524030905740001</v>
          </cell>
          <cell r="H1462" t="str">
            <v>000000000000000</v>
          </cell>
          <cell r="J1462">
            <v>117139599.9990602</v>
          </cell>
          <cell r="K1462">
            <v>0</v>
          </cell>
          <cell r="L1462">
            <v>117139599.9990602</v>
          </cell>
        </row>
        <row r="1463">
          <cell r="B1463" t="str">
            <v>SYAI20AC</v>
          </cell>
          <cell r="C1463" t="str">
            <v>Tani Makmur/Syain</v>
          </cell>
          <cell r="D1463" t="str">
            <v>Sumarlan</v>
          </cell>
          <cell r="E1463" t="str">
            <v>Calonan, RT.019/RW.008, Kel. Jegreg, Kec. Modo</v>
          </cell>
          <cell r="F1463" t="str">
            <v>Lamongan</v>
          </cell>
          <cell r="G1463" t="str">
            <v>3524032507750003</v>
          </cell>
          <cell r="H1463" t="str">
            <v>000000000000000</v>
          </cell>
          <cell r="J1463">
            <v>116833599.9994092</v>
          </cell>
          <cell r="K1463">
            <v>0</v>
          </cell>
          <cell r="L1463">
            <v>116833599.9994092</v>
          </cell>
        </row>
        <row r="1464">
          <cell r="B1464" t="str">
            <v>SYAI21AC</v>
          </cell>
          <cell r="C1464" t="str">
            <v>Tani Makmur/Syain</v>
          </cell>
          <cell r="D1464" t="str">
            <v>Sumarto</v>
          </cell>
          <cell r="E1464" t="str">
            <v>Mlaten, RT.002/RW.003, Kel. Kedungpengaron, Kec. Modo</v>
          </cell>
          <cell r="F1464" t="str">
            <v>Lamongan</v>
          </cell>
          <cell r="G1464" t="str">
            <v>3524031009790004</v>
          </cell>
          <cell r="H1464" t="str">
            <v>000000000000000</v>
          </cell>
          <cell r="J1464">
            <v>115569599.9994092</v>
          </cell>
          <cell r="K1464">
            <v>0</v>
          </cell>
          <cell r="L1464">
            <v>115569599.9994092</v>
          </cell>
        </row>
        <row r="1465">
          <cell r="B1465" t="str">
            <v>SYAI23AC</v>
          </cell>
          <cell r="C1465" t="str">
            <v>Tani Makmur/Syain</v>
          </cell>
          <cell r="D1465" t="str">
            <v>Ramin</v>
          </cell>
          <cell r="E1465" t="str">
            <v>Ledok, RT.004/RW.007, Kel. Pule, Kec. Modo</v>
          </cell>
          <cell r="F1465" t="str">
            <v>Lamongan</v>
          </cell>
          <cell r="G1465" t="str">
            <v>3524031305620002</v>
          </cell>
          <cell r="H1465" t="str">
            <v>000000000000000</v>
          </cell>
          <cell r="J1465">
            <v>131133599.99894151</v>
          </cell>
          <cell r="K1465">
            <v>0</v>
          </cell>
          <cell r="L1465">
            <v>131133599.99894151</v>
          </cell>
        </row>
        <row r="1466">
          <cell r="B1466" t="str">
            <v>SYAI24AC</v>
          </cell>
          <cell r="C1466" t="str">
            <v>Tani Makmur/Syain</v>
          </cell>
          <cell r="D1466" t="str">
            <v>A Samsul</v>
          </cell>
          <cell r="E1466" t="str">
            <v>Semampir, RT.004/RW.001, Kel. Sidomulyo, Kec. Modo</v>
          </cell>
          <cell r="F1466" t="str">
            <v>Lamongan</v>
          </cell>
          <cell r="G1466" t="str">
            <v>3524030501520002</v>
          </cell>
          <cell r="H1466" t="str">
            <v>000000000000000</v>
          </cell>
          <cell r="I1466" t="str">
            <v>Petani</v>
          </cell>
          <cell r="J1466">
            <v>127573599.9992235</v>
          </cell>
          <cell r="K1466">
            <v>0</v>
          </cell>
          <cell r="L1466">
            <v>127573599.9992235</v>
          </cell>
        </row>
        <row r="1467">
          <cell r="B1467" t="str">
            <v>TAN06AC</v>
          </cell>
          <cell r="C1467" t="str">
            <v>Tani Makmur/Yamin, H</v>
          </cell>
          <cell r="D1467" t="str">
            <v>Utoyo</v>
          </cell>
          <cell r="E1467" t="str">
            <v>Dsn. Jambean RT.1/RW.1, Dawuhan Sengon, Purwodadi</v>
          </cell>
          <cell r="F1467" t="str">
            <v>Pasuruan</v>
          </cell>
          <cell r="G1467" t="str">
            <v>3514011209790001</v>
          </cell>
          <cell r="H1467" t="str">
            <v>000000000000000</v>
          </cell>
          <cell r="J1467">
            <v>0</v>
          </cell>
          <cell r="K1467">
            <v>0</v>
          </cell>
          <cell r="L1467">
            <v>0</v>
          </cell>
        </row>
        <row r="1468">
          <cell r="B1468" t="str">
            <v>TAN07AC</v>
          </cell>
          <cell r="C1468" t="str">
            <v>Tani Makmur/Yamin, H</v>
          </cell>
          <cell r="D1468" t="str">
            <v>Endik Setiawan</v>
          </cell>
          <cell r="E1468" t="str">
            <v>Dsn. Kuntul RT.3/RW.1, Kali Pucang, Tutur</v>
          </cell>
          <cell r="F1468" t="str">
            <v>Pasuruan</v>
          </cell>
          <cell r="G1468" t="str">
            <v>3514021812970002</v>
          </cell>
          <cell r="H1468" t="str">
            <v>000000000000000</v>
          </cell>
          <cell r="J1468">
            <v>0</v>
          </cell>
          <cell r="K1468">
            <v>0</v>
          </cell>
          <cell r="L1468">
            <v>0</v>
          </cell>
        </row>
        <row r="1469">
          <cell r="B1469" t="str">
            <v>TAN08AC</v>
          </cell>
          <cell r="C1469" t="str">
            <v>Tani Makmur/Yamin, H</v>
          </cell>
          <cell r="D1469" t="str">
            <v>Putri Jilaturohmi</v>
          </cell>
          <cell r="E1469" t="str">
            <v>Ploso, RT.14/RW.3, Ploso Wonoayu</v>
          </cell>
          <cell r="F1469" t="str">
            <v>Sidoarjo</v>
          </cell>
          <cell r="G1469" t="str">
            <v>3515105112970001</v>
          </cell>
          <cell r="H1469" t="str">
            <v>000000000000000</v>
          </cell>
          <cell r="J1469">
            <v>0</v>
          </cell>
          <cell r="K1469">
            <v>0</v>
          </cell>
          <cell r="L1469">
            <v>0</v>
          </cell>
        </row>
        <row r="1470">
          <cell r="B1470" t="str">
            <v>TAN09AC</v>
          </cell>
          <cell r="C1470" t="str">
            <v>Tani Makmur/Yamin, H</v>
          </cell>
          <cell r="D1470" t="str">
            <v>Mohamad Afifin</v>
          </cell>
          <cell r="E1470" t="str">
            <v>Bangeran, RT.5/RW.2, Mulyodadi, Wonoayu</v>
          </cell>
          <cell r="F1470" t="str">
            <v>Sidoarjo</v>
          </cell>
          <cell r="G1470" t="str">
            <v>3515101412900002</v>
          </cell>
          <cell r="H1470" t="str">
            <v>000000000000000</v>
          </cell>
          <cell r="J1470">
            <v>0</v>
          </cell>
          <cell r="K1470">
            <v>0</v>
          </cell>
          <cell r="L1470">
            <v>0</v>
          </cell>
        </row>
        <row r="1471">
          <cell r="B1471" t="str">
            <v>TAN10AC</v>
          </cell>
          <cell r="C1471" t="str">
            <v>Tani Makmur/Yamin, H</v>
          </cell>
          <cell r="D1471" t="str">
            <v>Syaifudin</v>
          </cell>
          <cell r="E1471" t="str">
            <v>Krajan III, RT.2/RW.1, Andongsari, Tutur</v>
          </cell>
          <cell r="F1471" t="str">
            <v>Pasuruan</v>
          </cell>
          <cell r="G1471" t="str">
            <v>3514020311880004</v>
          </cell>
          <cell r="H1471" t="str">
            <v>000000000000000</v>
          </cell>
          <cell r="J1471">
            <v>0</v>
          </cell>
          <cell r="K1471">
            <v>0</v>
          </cell>
          <cell r="L1471">
            <v>0</v>
          </cell>
        </row>
        <row r="1472">
          <cell r="B1472" t="str">
            <v>TAN11AC</v>
          </cell>
          <cell r="C1472" t="str">
            <v>Tani Makmur/Yamin, H</v>
          </cell>
          <cell r="D1472" t="str">
            <v>Syaiqu Nur K</v>
          </cell>
          <cell r="E1472" t="str">
            <v>Dusun Tengah, RT.004/RW.005,Kel. Gerbo, Kec. Purwodadi</v>
          </cell>
          <cell r="F1472" t="str">
            <v>Pasuruan</v>
          </cell>
          <cell r="G1472" t="str">
            <v>3514011311000001</v>
          </cell>
          <cell r="H1472" t="str">
            <v>000000000000000</v>
          </cell>
          <cell r="J1472">
            <v>0</v>
          </cell>
          <cell r="K1472">
            <v>0</v>
          </cell>
          <cell r="L1472">
            <v>0</v>
          </cell>
        </row>
        <row r="1473">
          <cell r="B1473" t="str">
            <v>TAMA01AC</v>
          </cell>
          <cell r="C1473" t="str">
            <v>Tani Marem Mojoranu/Endah</v>
          </cell>
          <cell r="D1473" t="str">
            <v>Endah Prasetyo</v>
          </cell>
          <cell r="E1473" t="str">
            <v>Gempol RT.014/RW.007, Kel. Mayangrejo, Kec. Kalitidu</v>
          </cell>
          <cell r="F1473" t="str">
            <v>Bojonegoro</v>
          </cell>
          <cell r="G1473" t="str">
            <v>3522066609970004</v>
          </cell>
          <cell r="H1473" t="str">
            <v>000000000000000</v>
          </cell>
          <cell r="I1473" t="str">
            <v>masuk Z, TIDAK USAH -20% dikirim faktur pajaknya bersama Endah Jaya/Endah ( 1 KTP )</v>
          </cell>
          <cell r="J1473">
            <v>0</v>
          </cell>
          <cell r="K1473">
            <v>0</v>
          </cell>
          <cell r="L1473">
            <v>0</v>
          </cell>
        </row>
        <row r="1474">
          <cell r="B1474" t="str">
            <v>TAMA02AC</v>
          </cell>
          <cell r="C1474" t="str">
            <v>Tani Marem Mojoranu/Endah</v>
          </cell>
          <cell r="D1474" t="str">
            <v>Teguh Hermawan Safroni</v>
          </cell>
          <cell r="E1474" t="str">
            <v>Dusun Plosorejo, RT.032/RW.006, Kel. Sumberagung, Kec. Dander</v>
          </cell>
          <cell r="F1474" t="str">
            <v>Bojonegoro</v>
          </cell>
          <cell r="G1474" t="str">
            <v>3522061808820005</v>
          </cell>
          <cell r="H1474" t="str">
            <v>000000000000000</v>
          </cell>
          <cell r="J1474">
            <v>0</v>
          </cell>
          <cell r="K1474">
            <v>0</v>
          </cell>
          <cell r="L1474">
            <v>0</v>
          </cell>
        </row>
        <row r="1475">
          <cell r="B1475" t="str">
            <v xml:space="preserve">JOH07AC </v>
          </cell>
          <cell r="C1475" t="str">
            <v>Tani Sejati/Johny</v>
          </cell>
          <cell r="D1475" t="str">
            <v>Mimin</v>
          </cell>
          <cell r="E1475" t="str">
            <v>Jl. A. Yani I.R. H. Ambodalle, RT.003/RW.009, Kel.Kadia, Kec. Kadia</v>
          </cell>
          <cell r="F1475" t="str">
            <v>Kendari</v>
          </cell>
          <cell r="G1475" t="str">
            <v>7471086505910002</v>
          </cell>
          <cell r="H1475" t="str">
            <v>000000000000000</v>
          </cell>
          <cell r="I1475" t="str">
            <v>Harapan Agro Mandiri, CV Kendari</v>
          </cell>
          <cell r="J1475">
            <v>47758399.999567524</v>
          </cell>
          <cell r="K1475">
            <v>0</v>
          </cell>
          <cell r="L1475">
            <v>47758399.999567524</v>
          </cell>
        </row>
        <row r="1476">
          <cell r="B1476" t="str">
            <v xml:space="preserve">JOH08AC </v>
          </cell>
          <cell r="C1476" t="str">
            <v>Tani Sejati/Johny</v>
          </cell>
          <cell r="D1476" t="str">
            <v>La Ode Musu</v>
          </cell>
          <cell r="E1476" t="str">
            <v>Desa Guali, RT.001/RW.001, Kel. Guali, Kec. Kusambi</v>
          </cell>
          <cell r="F1476" t="str">
            <v>Muna</v>
          </cell>
          <cell r="G1476" t="str">
            <v>7403050701870202</v>
          </cell>
          <cell r="H1476" t="str">
            <v>000000000000000</v>
          </cell>
          <cell r="I1476" t="str">
            <v>Ada bbrp NIK tani sejati johny Fotocopian tp tdk jelas</v>
          </cell>
          <cell r="J1476">
            <v>31027199.99959296</v>
          </cell>
          <cell r="K1476">
            <v>0</v>
          </cell>
          <cell r="L1476">
            <v>31027199.99959296</v>
          </cell>
        </row>
        <row r="1477">
          <cell r="B1477" t="str">
            <v>TSK01AC</v>
          </cell>
          <cell r="C1477" t="str">
            <v>Tani Sejati/Johny</v>
          </cell>
          <cell r="D1477" t="str">
            <v>Rusdi</v>
          </cell>
          <cell r="E1477" t="str">
            <v>Dsn. II Pambusuang, Kel. Pambusuang, Kec. Balanipa</v>
          </cell>
          <cell r="F1477" t="str">
            <v>Polewali Mandar</v>
          </cell>
          <cell r="G1477" t="str">
            <v>7604122401900002</v>
          </cell>
          <cell r="H1477" t="str">
            <v>000000000000000</v>
          </cell>
          <cell r="J1477">
            <v>60938399.99981714</v>
          </cell>
          <cell r="K1477">
            <v>0</v>
          </cell>
          <cell r="L1477">
            <v>60938399.99981714</v>
          </cell>
        </row>
        <row r="1478">
          <cell r="B1478" t="str">
            <v>TSK02AC</v>
          </cell>
          <cell r="C1478" t="str">
            <v>Tani Sejati/Johny</v>
          </cell>
          <cell r="D1478" t="str">
            <v>Fadel Adiputra</v>
          </cell>
          <cell r="E1478" t="str">
            <v>Koppe, RT.002/RW.001, Kel. Lili Riawang, Kec. Bengo</v>
          </cell>
          <cell r="F1478" t="str">
            <v>Bone</v>
          </cell>
          <cell r="G1478" t="str">
            <v>7308262602000001</v>
          </cell>
          <cell r="H1478" t="str">
            <v>000000000000000</v>
          </cell>
          <cell r="J1478">
            <v>49973999.999959499</v>
          </cell>
          <cell r="K1478">
            <v>0</v>
          </cell>
          <cell r="L1478">
            <v>49973999.999959499</v>
          </cell>
        </row>
        <row r="1479">
          <cell r="B1479" t="str">
            <v>TSK03AC</v>
          </cell>
          <cell r="C1479" t="str">
            <v>Tani Sejati/Johny</v>
          </cell>
          <cell r="D1479" t="str">
            <v>H Yahya</v>
          </cell>
          <cell r="E1479" t="str">
            <v>Lingk BT Cabu, RT.002/RW.001, Kel. Maccini Baji, Kec. Lau</v>
          </cell>
          <cell r="F1479" t="str">
            <v>Maros</v>
          </cell>
          <cell r="G1479" t="str">
            <v>7309121204740002</v>
          </cell>
          <cell r="H1479" t="str">
            <v>000000000000000</v>
          </cell>
          <cell r="J1479">
            <v>48333599.999961004</v>
          </cell>
          <cell r="K1479">
            <v>0</v>
          </cell>
          <cell r="L1479">
            <v>48333599.999961004</v>
          </cell>
        </row>
        <row r="1480">
          <cell r="B1480" t="str">
            <v>TSK04AC</v>
          </cell>
          <cell r="C1480" t="str">
            <v>Tani Sejati/Johny</v>
          </cell>
          <cell r="D1480" t="str">
            <v>Murt Utami</v>
          </cell>
          <cell r="E1480" t="str">
            <v>Jl. Sakura, RT.003/RW.003, Kel. Nario Indah, Kec. Wawotobi</v>
          </cell>
          <cell r="F1480" t="str">
            <v>Konawe</v>
          </cell>
          <cell r="G1480" t="str">
            <v>7402035605650001</v>
          </cell>
          <cell r="H1480" t="str">
            <v>000000000000000</v>
          </cell>
          <cell r="J1480">
            <v>48541999.999965504</v>
          </cell>
          <cell r="K1480">
            <v>0</v>
          </cell>
          <cell r="L1480">
            <v>48541999.999965504</v>
          </cell>
        </row>
        <row r="1481">
          <cell r="B1481" t="str">
            <v>TSK05AC</v>
          </cell>
          <cell r="C1481" t="str">
            <v>Tani Sejati/Johny</v>
          </cell>
          <cell r="D1481" t="str">
            <v>Wagiran</v>
          </cell>
          <cell r="E1481" t="str">
            <v>Lalousu, Kel. Lalousu, Kec. Wonggeduku</v>
          </cell>
          <cell r="F1481" t="str">
            <v>Konawe</v>
          </cell>
          <cell r="G1481" t="str">
            <v>7401260502620003</v>
          </cell>
          <cell r="H1481" t="str">
            <v>000000000000000</v>
          </cell>
          <cell r="J1481">
            <v>35376000</v>
          </cell>
          <cell r="K1481">
            <v>0</v>
          </cell>
          <cell r="L1481">
            <v>35376000</v>
          </cell>
        </row>
        <row r="1482">
          <cell r="B1482" t="str">
            <v>TSK06AC</v>
          </cell>
          <cell r="C1482" t="str">
            <v>Tani Sejati/Johny</v>
          </cell>
          <cell r="D1482" t="str">
            <v>Suparman</v>
          </cell>
          <cell r="E1482" t="str">
            <v>Jl. Alpukat Desa Karandu, RT.006/RW.004, Kel. Karandu, Kec. Wawotobi</v>
          </cell>
          <cell r="F1482" t="str">
            <v>Konawe</v>
          </cell>
          <cell r="G1482" t="str">
            <v>7402030105740001</v>
          </cell>
          <cell r="H1482" t="str">
            <v>000000000000000</v>
          </cell>
          <cell r="J1482">
            <v>66863999.999964006</v>
          </cell>
          <cell r="K1482">
            <v>0</v>
          </cell>
          <cell r="L1482">
            <v>66863999.999964006</v>
          </cell>
        </row>
        <row r="1483">
          <cell r="B1483" t="str">
            <v>TSK07AC</v>
          </cell>
          <cell r="C1483" t="str">
            <v>Tani Sejati/Johny</v>
          </cell>
          <cell r="D1483" t="str">
            <v>Wagimin</v>
          </cell>
          <cell r="E1483" t="str">
            <v>Desa Karandu, RT.001/RW.002, Kel. Karandu, Kec. Wawotobi</v>
          </cell>
          <cell r="F1483" t="str">
            <v>Konawe</v>
          </cell>
          <cell r="G1483" t="str">
            <v>7402032304600001</v>
          </cell>
          <cell r="H1483" t="str">
            <v>000000000000000</v>
          </cell>
          <cell r="J1483">
            <v>24160000.000000037</v>
          </cell>
          <cell r="K1483">
            <v>0</v>
          </cell>
          <cell r="L1483">
            <v>24160000.000000037</v>
          </cell>
        </row>
        <row r="1484">
          <cell r="B1484" t="str">
            <v>TSK08AC</v>
          </cell>
          <cell r="C1484" t="str">
            <v>Tani Sejati/Johny</v>
          </cell>
          <cell r="D1484" t="str">
            <v>Siti Nurdiana</v>
          </cell>
          <cell r="E1484" t="str">
            <v>Desa Bumbu, RT.002/RW.002, Kel. Bumbu, Kec. Pasir Putih</v>
          </cell>
          <cell r="F1484" t="str">
            <v>Muna</v>
          </cell>
          <cell r="G1484" t="str">
            <v>7403234107950237</v>
          </cell>
          <cell r="H1484" t="str">
            <v>000000000000000</v>
          </cell>
          <cell r="J1484">
            <v>40751999.9999412</v>
          </cell>
          <cell r="K1484">
            <v>0</v>
          </cell>
          <cell r="L1484">
            <v>40751999.9999412</v>
          </cell>
        </row>
        <row r="1485">
          <cell r="B1485" t="str">
            <v>TSK09AC</v>
          </cell>
          <cell r="C1485" t="str">
            <v>Tani Sejati/Johny</v>
          </cell>
          <cell r="D1485" t="str">
            <v>Tirta Dewa Kirana Prawira</v>
          </cell>
          <cell r="E1485" t="str">
            <v>Jl. Ikan Nus Timur 47, RT.011/RW.005, Kel. Tunjungsekar, Kec. Lowokwaru</v>
          </cell>
          <cell r="F1485" t="str">
            <v>Malang</v>
          </cell>
          <cell r="G1485" t="str">
            <v>3573052903040003</v>
          </cell>
          <cell r="H1485" t="str">
            <v>000000000000000</v>
          </cell>
          <cell r="J1485">
            <v>40751999.9999412</v>
          </cell>
          <cell r="K1485">
            <v>0</v>
          </cell>
          <cell r="L1485">
            <v>40751999.9999412</v>
          </cell>
        </row>
        <row r="1486">
          <cell r="B1486" t="str">
            <v>TSK10AC</v>
          </cell>
          <cell r="C1486" t="str">
            <v>Tani Sejati/Johny</v>
          </cell>
          <cell r="D1486" t="str">
            <v>Hamsa</v>
          </cell>
          <cell r="E1486" t="str">
            <v>Watarema, RT.001/RW.001, Kel. Watarema, Kec. Lambuya</v>
          </cell>
          <cell r="F1486" t="str">
            <v>Konawe</v>
          </cell>
          <cell r="G1486" t="str">
            <v>7402010507820001</v>
          </cell>
          <cell r="H1486" t="str">
            <v>000000000000000</v>
          </cell>
          <cell r="J1486">
            <v>39983999.999941207</v>
          </cell>
          <cell r="K1486">
            <v>0</v>
          </cell>
          <cell r="L1486">
            <v>39983999.999941207</v>
          </cell>
        </row>
        <row r="1487">
          <cell r="B1487" t="str">
            <v>TSK11AC</v>
          </cell>
          <cell r="C1487" t="str">
            <v>Tani Sejati/Johny</v>
          </cell>
          <cell r="D1487" t="str">
            <v>DG. Makka</v>
          </cell>
          <cell r="E1487" t="str">
            <v>Watarema, RT.001, Kel. Watarema, Kec. Lambuya</v>
          </cell>
          <cell r="F1487" t="str">
            <v>Konawe</v>
          </cell>
          <cell r="G1487" t="str">
            <v>7402011708450001</v>
          </cell>
          <cell r="H1487" t="str">
            <v>000000000000000</v>
          </cell>
          <cell r="J1487">
            <v>33575999.9999412</v>
          </cell>
          <cell r="K1487">
            <v>0</v>
          </cell>
          <cell r="L1487">
            <v>33575999.9999412</v>
          </cell>
        </row>
        <row r="1488">
          <cell r="B1488" t="str">
            <v>TSK12AC</v>
          </cell>
          <cell r="C1488" t="str">
            <v>Tani Sejati/Johny</v>
          </cell>
          <cell r="D1488" t="str">
            <v>Siti</v>
          </cell>
          <cell r="E1488" t="str">
            <v>Desa Wowasolo, RT.002/RW.002, Kel. Wowasolo, Kec. Wonggeduku</v>
          </cell>
          <cell r="F1488" t="str">
            <v>Konawe</v>
          </cell>
          <cell r="G1488" t="str">
            <v>7402194107500052</v>
          </cell>
          <cell r="H1488" t="str">
            <v>000000000000000</v>
          </cell>
          <cell r="J1488">
            <v>33575999.9999412</v>
          </cell>
          <cell r="K1488">
            <v>0</v>
          </cell>
          <cell r="L1488">
            <v>33575999.9999412</v>
          </cell>
        </row>
        <row r="1489">
          <cell r="B1489" t="str">
            <v>TSK13AC</v>
          </cell>
          <cell r="C1489" t="str">
            <v>Tani Sejati/Johny</v>
          </cell>
          <cell r="D1489" t="str">
            <v xml:space="preserve">Sukar </v>
          </cell>
          <cell r="E1489" t="str">
            <v>Desa Wowasolo, RT.005/RW.003, Kel. Wowasolo, Kec. Wonggeduku</v>
          </cell>
          <cell r="F1489" t="str">
            <v>Konawe</v>
          </cell>
          <cell r="G1489" t="str">
            <v>7402191205650002</v>
          </cell>
          <cell r="H1489" t="str">
            <v>000000000000000</v>
          </cell>
          <cell r="J1489">
            <v>41560000.000000037</v>
          </cell>
          <cell r="K1489">
            <v>0</v>
          </cell>
          <cell r="L1489">
            <v>41560000.000000037</v>
          </cell>
        </row>
        <row r="1490">
          <cell r="B1490" t="str">
            <v>TSK14AC</v>
          </cell>
          <cell r="C1490" t="str">
            <v>Tani Sejati/Johny</v>
          </cell>
          <cell r="D1490" t="str">
            <v>Maulan</v>
          </cell>
          <cell r="E1490" t="str">
            <v>Desa Wowasolo, RT.005/RW.003, Kel. Wowasolo, Kec. Wonggeduku</v>
          </cell>
          <cell r="F1490" t="str">
            <v>Konawe</v>
          </cell>
          <cell r="G1490" t="str">
            <v>7402191107550001</v>
          </cell>
          <cell r="H1490" t="str">
            <v>000000000000000</v>
          </cell>
          <cell r="J1490">
            <v>34699999.999905005</v>
          </cell>
          <cell r="K1490">
            <v>0</v>
          </cell>
          <cell r="L1490">
            <v>34699999.999905005</v>
          </cell>
        </row>
        <row r="1491">
          <cell r="B1491" t="str">
            <v>TSK15AC</v>
          </cell>
          <cell r="C1491" t="str">
            <v>Tani Sejati/Johny</v>
          </cell>
          <cell r="D1491" t="str">
            <v>Nanik Kamidah</v>
          </cell>
          <cell r="E1491" t="str">
            <v>Desa Wowasolo, RT.001/RW.001, Kel. Wowasolo, Kec. Wonggeduku</v>
          </cell>
          <cell r="F1491" t="str">
            <v>Konawe</v>
          </cell>
          <cell r="G1491" t="str">
            <v>7402194305700001</v>
          </cell>
          <cell r="H1491" t="str">
            <v>000000000000000</v>
          </cell>
          <cell r="J1491">
            <v>33199999.999739997</v>
          </cell>
          <cell r="K1491">
            <v>0</v>
          </cell>
          <cell r="L1491">
            <v>33199999.999739997</v>
          </cell>
        </row>
        <row r="1492">
          <cell r="B1492" t="str">
            <v>TSK16AC</v>
          </cell>
          <cell r="C1492" t="str">
            <v>Tani Sejati/Johny</v>
          </cell>
          <cell r="D1492" t="str">
            <v>Sumari</v>
          </cell>
          <cell r="E1492" t="str">
            <v>Desa Wowasolo, RT.004/RW.003, Kel. Wowasolo, Kec. Wonggeduku</v>
          </cell>
          <cell r="F1492" t="str">
            <v>Konawe</v>
          </cell>
          <cell r="G1492" t="str">
            <v>7402192005690002</v>
          </cell>
          <cell r="H1492" t="str">
            <v>000000000000000</v>
          </cell>
          <cell r="J1492">
            <v>27384000</v>
          </cell>
          <cell r="K1492">
            <v>0</v>
          </cell>
          <cell r="L1492">
            <v>27384000</v>
          </cell>
        </row>
        <row r="1493">
          <cell r="B1493" t="str">
            <v>TSK17AC</v>
          </cell>
          <cell r="C1493" t="str">
            <v>Tani Sejati/Johny</v>
          </cell>
          <cell r="D1493" t="str">
            <v>Samud</v>
          </cell>
          <cell r="E1493" t="str">
            <v>Desa Wowasolo, RT.002/RW.001, Kel. Wowasolo, Kec. Wonggeduku</v>
          </cell>
          <cell r="F1493" t="str">
            <v>Konawe</v>
          </cell>
          <cell r="G1493" t="str">
            <v>7402193112550008</v>
          </cell>
          <cell r="H1493" t="str">
            <v>000000000000000</v>
          </cell>
          <cell r="J1493">
            <v>17400000</v>
          </cell>
          <cell r="K1493">
            <v>0</v>
          </cell>
          <cell r="L1493">
            <v>17400000</v>
          </cell>
        </row>
        <row r="1494">
          <cell r="B1494" t="str">
            <v>TSK18AC</v>
          </cell>
          <cell r="C1494" t="str">
            <v>Tani Sejati/Johny</v>
          </cell>
          <cell r="D1494" t="str">
            <v>Puji Nurgiono</v>
          </cell>
          <cell r="E1494" t="str">
            <v>Desa  Waworaha, RT.002/RW.000, Kel. Waworaha, Kec. Palangga</v>
          </cell>
          <cell r="F1494" t="str">
            <v>Konawe Selatan</v>
          </cell>
          <cell r="G1494" t="str">
            <v>7405040103810001</v>
          </cell>
          <cell r="H1494" t="str">
            <v>000000000000000</v>
          </cell>
          <cell r="J1494">
            <v>17400000</v>
          </cell>
          <cell r="K1494">
            <v>0</v>
          </cell>
          <cell r="L1494">
            <v>17400000</v>
          </cell>
        </row>
        <row r="1495">
          <cell r="B1495" t="str">
            <v>TSK19AC</v>
          </cell>
          <cell r="C1495" t="str">
            <v>Tani Sejati/Johny</v>
          </cell>
          <cell r="D1495" t="str">
            <v>Khusaeni Sahlan</v>
          </cell>
          <cell r="E1495" t="str">
            <v>Dusun II, RT.001/RW.002, Kel. Waworaha, Kec. Palangga</v>
          </cell>
          <cell r="F1495" t="str">
            <v>Konawe Selatan</v>
          </cell>
          <cell r="G1495" t="str">
            <v>7405041507500003</v>
          </cell>
          <cell r="H1495" t="str">
            <v>000000000000000</v>
          </cell>
          <cell r="J1495">
            <v>17400000</v>
          </cell>
          <cell r="K1495">
            <v>0</v>
          </cell>
          <cell r="L1495">
            <v>17400000</v>
          </cell>
        </row>
        <row r="1496">
          <cell r="B1496" t="str">
            <v>TSK20AC</v>
          </cell>
          <cell r="C1496" t="str">
            <v>Tani Sejati/Johny</v>
          </cell>
          <cell r="D1496" t="str">
            <v>Tamrin</v>
          </cell>
          <cell r="E1496" t="str">
            <v>Dusun IV Maminasa, RT.001/RW.004, Kel. Keisio, Kec. Lalolae</v>
          </cell>
          <cell r="F1496" t="str">
            <v>Kolaka Timur</v>
          </cell>
          <cell r="G1496" t="str">
            <v>7401231010800005</v>
          </cell>
          <cell r="H1496" t="str">
            <v>000000000000000</v>
          </cell>
          <cell r="J1496">
            <v>41208000</v>
          </cell>
          <cell r="K1496">
            <v>0</v>
          </cell>
          <cell r="L1496">
            <v>41208000</v>
          </cell>
        </row>
        <row r="1497">
          <cell r="B1497" t="str">
            <v>TSK22AC</v>
          </cell>
          <cell r="C1497" t="str">
            <v>Tani Sejati/Johny</v>
          </cell>
          <cell r="D1497" t="str">
            <v>Bambang Hartoyo</v>
          </cell>
          <cell r="E1497" t="str">
            <v>Desa Wowasolo, RT.005/RW.003, Kel. Wowasolo, Kec. Wonggeduku</v>
          </cell>
          <cell r="F1497" t="str">
            <v>Konawe</v>
          </cell>
          <cell r="G1497" t="str">
            <v>7402190404620002</v>
          </cell>
          <cell r="H1497" t="str">
            <v>000000000000000</v>
          </cell>
          <cell r="J1497">
            <v>13480000</v>
          </cell>
          <cell r="K1497">
            <v>0</v>
          </cell>
          <cell r="L1497">
            <v>13480000</v>
          </cell>
        </row>
        <row r="1498">
          <cell r="B1498" t="str">
            <v>TSK23AC</v>
          </cell>
          <cell r="C1498" t="str">
            <v>Tani Sejati/Johny</v>
          </cell>
          <cell r="D1498" t="str">
            <v>Muh. Saleh</v>
          </cell>
          <cell r="E1498" t="str">
            <v>Polandangi, RT.002/RW.002, Kel. Polandangi, Kec. Wonggeduku</v>
          </cell>
          <cell r="F1498" t="str">
            <v>Konawe</v>
          </cell>
          <cell r="G1498" t="str">
            <v>7402193112870007</v>
          </cell>
          <cell r="H1498" t="str">
            <v>000000000000000</v>
          </cell>
          <cell r="J1498">
            <v>13480000</v>
          </cell>
          <cell r="K1498">
            <v>0</v>
          </cell>
          <cell r="L1498">
            <v>13480000</v>
          </cell>
        </row>
        <row r="1499">
          <cell r="B1499" t="str">
            <v>TSK24AC</v>
          </cell>
          <cell r="C1499" t="str">
            <v>Tani Sejati/Johny</v>
          </cell>
          <cell r="D1499" t="str">
            <v>Riyatmi</v>
          </cell>
          <cell r="E1499" t="str">
            <v>Desa Wowasolo, RT.002/RW.001, Kel. Wowasolo, Kec. Wonggeduku</v>
          </cell>
          <cell r="F1499" t="str">
            <v>Konawe</v>
          </cell>
          <cell r="G1499" t="str">
            <v>7402195005690004</v>
          </cell>
          <cell r="H1499" t="str">
            <v>000000000000000</v>
          </cell>
          <cell r="J1499">
            <v>16895999.999887202</v>
          </cell>
          <cell r="K1499">
            <v>0</v>
          </cell>
          <cell r="L1499">
            <v>16895999.999887202</v>
          </cell>
        </row>
        <row r="1500">
          <cell r="B1500" t="str">
            <v>TSK25AC</v>
          </cell>
          <cell r="C1500" t="str">
            <v>Tani Sejati/Johny</v>
          </cell>
          <cell r="D1500" t="str">
            <v>Wakijan. T</v>
          </cell>
          <cell r="E1500" t="str">
            <v>Desa Wowasolo, RT.006/RW.003, Kel. Wowasolo, Kec. Wonggeduku</v>
          </cell>
          <cell r="F1500" t="str">
            <v>Konawe</v>
          </cell>
          <cell r="G1500" t="str">
            <v>7402190307470001</v>
          </cell>
          <cell r="H1500" t="str">
            <v>000000000000000</v>
          </cell>
          <cell r="J1500">
            <v>18303999.999877799</v>
          </cell>
          <cell r="K1500">
            <v>0</v>
          </cell>
          <cell r="L1500">
            <v>18303999.999877799</v>
          </cell>
        </row>
        <row r="1501">
          <cell r="B1501" t="str">
            <v>TSK26AC</v>
          </cell>
          <cell r="C1501" t="str">
            <v>Tani Sejati/Johny</v>
          </cell>
          <cell r="D1501" t="str">
            <v>Muhsan</v>
          </cell>
          <cell r="E1501" t="str">
            <v>Desa Wowasolo, RT.002/RW.002, Kel. Wowasolo, Kec. Wonggeduku</v>
          </cell>
          <cell r="F1501" t="str">
            <v>Konawe</v>
          </cell>
          <cell r="G1501" t="str">
            <v>7402192707700001</v>
          </cell>
          <cell r="H1501" t="str">
            <v>000000000000000</v>
          </cell>
          <cell r="J1501">
            <v>0</v>
          </cell>
          <cell r="K1501">
            <v>0</v>
          </cell>
          <cell r="L1501">
            <v>0</v>
          </cell>
        </row>
        <row r="1502">
          <cell r="B1502" t="str">
            <v>TSK27AC</v>
          </cell>
          <cell r="C1502" t="str">
            <v>Tani Sejati/Johny</v>
          </cell>
          <cell r="D1502" t="str">
            <v>Arife</v>
          </cell>
          <cell r="E1502" t="str">
            <v>Lingk. II, Kel. Lapai, Kec. Ngapa</v>
          </cell>
          <cell r="F1502" t="str">
            <v>Kolaka Utara</v>
          </cell>
          <cell r="G1502" t="str">
            <v>7408063004770001</v>
          </cell>
          <cell r="H1502" t="str">
            <v>000000000000000</v>
          </cell>
          <cell r="I1502" t="str">
            <v>terima januari 2025</v>
          </cell>
          <cell r="J1502">
            <v>0</v>
          </cell>
          <cell r="K1502">
            <v>0</v>
          </cell>
          <cell r="L1502">
            <v>0</v>
          </cell>
        </row>
        <row r="1503">
          <cell r="B1503" t="str">
            <v>TSK28AC</v>
          </cell>
          <cell r="C1503" t="str">
            <v>Tani Sejati/Johny</v>
          </cell>
          <cell r="D1503" t="str">
            <v>Irsan</v>
          </cell>
          <cell r="E1503" t="str">
            <v>Lingk. I Kel. Lapai, Kel. Lapai, Kec. Ngapa</v>
          </cell>
          <cell r="F1503" t="str">
            <v>Kolaka Utara</v>
          </cell>
          <cell r="G1503" t="str">
            <v>7408063012960001</v>
          </cell>
          <cell r="H1503" t="str">
            <v>000000000000000</v>
          </cell>
          <cell r="I1503" t="str">
            <v>terima januari 2025</v>
          </cell>
          <cell r="J1503">
            <v>0</v>
          </cell>
          <cell r="K1503">
            <v>0</v>
          </cell>
          <cell r="L1503">
            <v>0</v>
          </cell>
        </row>
        <row r="1504">
          <cell r="B1504" t="str">
            <v>TSK29AC</v>
          </cell>
          <cell r="C1504" t="str">
            <v>Tani Sejati/Johny</v>
          </cell>
          <cell r="D1504" t="str">
            <v>Moh. Kuatno</v>
          </cell>
          <cell r="E1504" t="str">
            <v>Desa Kapu Jaya, RT.002/RW.003, Kel. Kapu jaya, Kec. Palangga</v>
          </cell>
          <cell r="F1504" t="str">
            <v>Konawe Selatan</v>
          </cell>
          <cell r="G1504" t="str">
            <v>7405040712770001</v>
          </cell>
          <cell r="H1504" t="str">
            <v>000000000000000</v>
          </cell>
          <cell r="I1504" t="str">
            <v>terima januari 2025</v>
          </cell>
          <cell r="J1504">
            <v>0</v>
          </cell>
          <cell r="K1504">
            <v>0</v>
          </cell>
          <cell r="L1504">
            <v>0</v>
          </cell>
        </row>
        <row r="1505">
          <cell r="B1505" t="str">
            <v>TSK30AC</v>
          </cell>
          <cell r="C1505" t="str">
            <v>Tani Sejati/Johny</v>
          </cell>
          <cell r="D1505" t="str">
            <v>Hanami</v>
          </cell>
          <cell r="E1505" t="str">
            <v>Lingk. II, Kel. Lapai, Kec. Ngapa</v>
          </cell>
          <cell r="F1505" t="str">
            <v>Kolaka Utara</v>
          </cell>
          <cell r="G1505" t="str">
            <v>7408066110720002</v>
          </cell>
          <cell r="H1505" t="str">
            <v>000000000000000</v>
          </cell>
          <cell r="I1505" t="str">
            <v>terima januari 2025</v>
          </cell>
          <cell r="J1505">
            <v>0</v>
          </cell>
          <cell r="K1505">
            <v>0</v>
          </cell>
          <cell r="L1505">
            <v>0</v>
          </cell>
        </row>
        <row r="1506">
          <cell r="B1506" t="str">
            <v>TSK31AC</v>
          </cell>
          <cell r="C1506" t="str">
            <v>Tani Sejati/Johny</v>
          </cell>
          <cell r="D1506" t="str">
            <v>Gede Sentana</v>
          </cell>
          <cell r="E1506" t="str">
            <v>Dusun Harapan Jaya, RT.001/RW.001, Kel. Wia-wia, Kec. Poli Polia</v>
          </cell>
          <cell r="F1506" t="str">
            <v>Kolaka Utara</v>
          </cell>
          <cell r="G1506" t="str">
            <v>7401223112790001</v>
          </cell>
          <cell r="H1506" t="str">
            <v>000000000000000</v>
          </cell>
          <cell r="I1506" t="str">
            <v>terima januari 2025</v>
          </cell>
          <cell r="J1506">
            <v>0</v>
          </cell>
          <cell r="K1506">
            <v>0</v>
          </cell>
          <cell r="L1506">
            <v>0</v>
          </cell>
        </row>
        <row r="1507">
          <cell r="B1507" t="str">
            <v>TSK32AC</v>
          </cell>
          <cell r="C1507" t="str">
            <v>Tani Sejati/Johny</v>
          </cell>
          <cell r="D1507" t="str">
            <v>Muhammad Arfan</v>
          </cell>
          <cell r="E1507" t="str">
            <v>Jl. R suprapto LR Pengayoman, RT.014/RW.005, Kel. Tobuuha, Kec. Puuwatu</v>
          </cell>
          <cell r="F1507" t="str">
            <v>Kendari</v>
          </cell>
          <cell r="G1507" t="str">
            <v>7471071905910002</v>
          </cell>
          <cell r="H1507" t="str">
            <v>000000000000000</v>
          </cell>
          <cell r="I1507" t="str">
            <v>terima juni 2024</v>
          </cell>
          <cell r="J1507">
            <v>0</v>
          </cell>
          <cell r="K1507">
            <v>0</v>
          </cell>
          <cell r="L1507">
            <v>0</v>
          </cell>
        </row>
        <row r="1508">
          <cell r="B1508" t="str">
            <v>TSK33AC</v>
          </cell>
          <cell r="C1508" t="str">
            <v>Tani Sejati/Johny</v>
          </cell>
          <cell r="D1508" t="str">
            <v>Namar</v>
          </cell>
          <cell r="E1508" t="str">
            <v>Kel. Tumpas, RT.001/RW.001, Kel. Tumpas, Kec. Unaaha</v>
          </cell>
          <cell r="F1508" t="str">
            <v>Konawe</v>
          </cell>
          <cell r="G1508" t="str">
            <v>7405022512700001</v>
          </cell>
          <cell r="H1508" t="str">
            <v>000000000000000</v>
          </cell>
          <cell r="I1508" t="str">
            <v>terima juni 2024</v>
          </cell>
          <cell r="J1508">
            <v>0</v>
          </cell>
          <cell r="K1508">
            <v>0</v>
          </cell>
          <cell r="L1508">
            <v>0</v>
          </cell>
        </row>
        <row r="1509">
          <cell r="B1509" t="str">
            <v>INGG01AC</v>
          </cell>
          <cell r="C1509" t="str">
            <v>Tani, UD/Inggrid</v>
          </cell>
          <cell r="D1509" t="str">
            <v>Iin Budja</v>
          </cell>
          <cell r="E1509" t="str">
            <v>Loli Saluran, RT.000/RW.000, Kel. Loli Saluran, Kec. Banawa</v>
          </cell>
          <cell r="F1509" t="str">
            <v>Donggala</v>
          </cell>
          <cell r="G1509" t="str">
            <v>7203085809980005</v>
          </cell>
          <cell r="H1509" t="str">
            <v>000000000000000</v>
          </cell>
          <cell r="J1509">
            <v>0</v>
          </cell>
          <cell r="K1509">
            <v>0</v>
          </cell>
          <cell r="L1509">
            <v>0</v>
          </cell>
        </row>
        <row r="1510">
          <cell r="B1510" t="str">
            <v>INGG02AC</v>
          </cell>
          <cell r="C1510" t="str">
            <v>Tani, UD/Inggrid</v>
          </cell>
          <cell r="D1510" t="str">
            <v>Roib</v>
          </cell>
          <cell r="E1510" t="str">
            <v>KP. Kademangan, RT.012/RW.004, Kel. Caringin, Kec. Labuan</v>
          </cell>
          <cell r="F1510" t="str">
            <v>Pandeglang</v>
          </cell>
          <cell r="G1510" t="str">
            <v>3601120107840106</v>
          </cell>
          <cell r="H1510" t="str">
            <v>000000000000000</v>
          </cell>
          <cell r="J1510">
            <v>0</v>
          </cell>
          <cell r="K1510">
            <v>0</v>
          </cell>
          <cell r="L1510">
            <v>0</v>
          </cell>
        </row>
        <row r="1511">
          <cell r="B1511" t="str">
            <v>INGG03AC</v>
          </cell>
          <cell r="C1511" t="str">
            <v>Tani, UD/Inggrid</v>
          </cell>
          <cell r="D1511" t="str">
            <v>Rony Nuraeni</v>
          </cell>
          <cell r="E1511" t="str">
            <v>KP. Kademangan, RT.012/RW.004, Kel. Caringin, Kec. Labuan</v>
          </cell>
          <cell r="F1511" t="str">
            <v>Pandeglang</v>
          </cell>
          <cell r="G1511" t="str">
            <v>3601286007880003</v>
          </cell>
          <cell r="H1511" t="str">
            <v>000000000000000</v>
          </cell>
          <cell r="J1511">
            <v>0</v>
          </cell>
          <cell r="K1511">
            <v>0</v>
          </cell>
          <cell r="L1511">
            <v>0</v>
          </cell>
        </row>
        <row r="1512">
          <cell r="B1512" t="str">
            <v>INGG04AC</v>
          </cell>
          <cell r="C1512" t="str">
            <v>Tani, UD/Inggrid</v>
          </cell>
          <cell r="D1512" t="str">
            <v>Irmawati</v>
          </cell>
          <cell r="E1512" t="str">
            <v>Jl. Palu Sabang, RT.000/RW.000, Kel. Labuan Salumbone, Kec. Labuan</v>
          </cell>
          <cell r="F1512" t="str">
            <v>Donggala</v>
          </cell>
          <cell r="G1512" t="str">
            <v>7203095203960001</v>
          </cell>
          <cell r="H1512" t="str">
            <v>000000000000000</v>
          </cell>
          <cell r="J1512">
            <v>0</v>
          </cell>
          <cell r="K1512">
            <v>0</v>
          </cell>
          <cell r="L1512">
            <v>0</v>
          </cell>
        </row>
        <row r="1513">
          <cell r="B1513" t="str">
            <v>INGG05AC</v>
          </cell>
          <cell r="C1513" t="str">
            <v>Tani, UD/Inggrid</v>
          </cell>
          <cell r="D1513" t="str">
            <v>Citra Dewi</v>
          </cell>
          <cell r="E1513" t="str">
            <v>Loli Pesua, RT.003/RW.001, Kel. Loli Pesua, Kec. Banawa</v>
          </cell>
          <cell r="F1513" t="str">
            <v>Donggala</v>
          </cell>
          <cell r="G1513" t="str">
            <v>7203085207960005</v>
          </cell>
          <cell r="H1513" t="str">
            <v>000000000000000</v>
          </cell>
          <cell r="J1513">
            <v>0</v>
          </cell>
          <cell r="K1513">
            <v>0</v>
          </cell>
          <cell r="L1513">
            <v>0</v>
          </cell>
        </row>
        <row r="1514">
          <cell r="B1514" t="str">
            <v>INGG06AC</v>
          </cell>
          <cell r="C1514" t="str">
            <v>Tani, UD/Inggrid</v>
          </cell>
          <cell r="D1514" t="str">
            <v>Ni Made Dwi Adnyani</v>
          </cell>
          <cell r="E1514" t="str">
            <v>Dusun I, RT.002/RW.000, Kel. Ongka Trimuspasari, Kec. Bolano Lambunu</v>
          </cell>
          <cell r="F1514" t="str">
            <v>Parigi Moutong</v>
          </cell>
          <cell r="G1514" t="str">
            <v>7208074809700007</v>
          </cell>
          <cell r="H1514" t="str">
            <v>000000000000000</v>
          </cell>
          <cell r="J1514">
            <v>0</v>
          </cell>
          <cell r="K1514">
            <v>0</v>
          </cell>
          <cell r="L1514">
            <v>0</v>
          </cell>
        </row>
        <row r="1515">
          <cell r="B1515" t="str">
            <v>TRUB03AC</v>
          </cell>
          <cell r="C1515" t="str">
            <v>Trubus Jaya/Deni</v>
          </cell>
          <cell r="D1515" t="str">
            <v>Sugiharti</v>
          </cell>
          <cell r="E1515" t="str">
            <v>Ds Gempol, RT.001/RW.001, Kel. Gempol, Kec. Rejoso</v>
          </cell>
          <cell r="F1515" t="str">
            <v>Nganjuk</v>
          </cell>
          <cell r="G1515" t="str">
            <v>3573055202520001</v>
          </cell>
          <cell r="H1515" t="str">
            <v>000000000000000</v>
          </cell>
          <cell r="I1515" t="str">
            <v>TIDAK MAU KIRIM NIK ACAK LAGI</v>
          </cell>
          <cell r="J1515">
            <v>0</v>
          </cell>
          <cell r="K1515">
            <v>0</v>
          </cell>
          <cell r="L1515">
            <v>0</v>
          </cell>
        </row>
        <row r="1516">
          <cell r="B1516" t="str">
            <v>USAH01AC</v>
          </cell>
          <cell r="C1516" t="str">
            <v>Usaha Tani/Abd. Moehid</v>
          </cell>
          <cell r="D1516" t="str">
            <v>Misnati</v>
          </cell>
          <cell r="E1516" t="str">
            <v>Dsn. Banmote, Kel. Kedungdung, Kec. Kedungdung</v>
          </cell>
          <cell r="F1516" t="str">
            <v>Sampang</v>
          </cell>
          <cell r="G1516" t="str">
            <v>3527064803880006</v>
          </cell>
          <cell r="H1516" t="str">
            <v>000000000000000</v>
          </cell>
          <cell r="I1516" t="str">
            <v>Riani Ratna Ningsih, Hj</v>
          </cell>
          <cell r="J1516">
            <v>14400000</v>
          </cell>
          <cell r="K1516">
            <v>0</v>
          </cell>
          <cell r="L1516">
            <v>14400000</v>
          </cell>
        </row>
        <row r="1517">
          <cell r="B1517" t="str">
            <v>USAH02AC</v>
          </cell>
          <cell r="C1517" t="str">
            <v>Usaha Tani/Abd. Moehid</v>
          </cell>
          <cell r="D1517" t="str">
            <v>Misro</v>
          </cell>
          <cell r="E1517" t="str">
            <v>Dsn. Tengah, RT.001/RW.003, Kel. Gunung Maddah, Kec. Sampang</v>
          </cell>
          <cell r="F1517" t="str">
            <v>Sampang</v>
          </cell>
          <cell r="G1517" t="str">
            <v>3527030107651911</v>
          </cell>
          <cell r="H1517" t="str">
            <v>000000000000000</v>
          </cell>
          <cell r="J1517">
            <v>18720000</v>
          </cell>
          <cell r="K1517">
            <v>0</v>
          </cell>
          <cell r="L1517">
            <v>18720000</v>
          </cell>
        </row>
        <row r="1518">
          <cell r="B1518" t="str">
            <v>USAH03AC</v>
          </cell>
          <cell r="C1518" t="str">
            <v>Usaha Tani/Abd. Moehid</v>
          </cell>
          <cell r="D1518" t="str">
            <v>Misru'i</v>
          </cell>
          <cell r="E1518" t="str">
            <v>Dsn. Tengah, RT.001/RW.003, Kel. Gunung Maddah, Kec. Sampang</v>
          </cell>
          <cell r="F1518" t="str">
            <v>Sampang</v>
          </cell>
          <cell r="G1518" t="str">
            <v>3527032404780004</v>
          </cell>
          <cell r="H1518" t="str">
            <v>000000000000000</v>
          </cell>
          <cell r="J1518">
            <v>5400000</v>
          </cell>
          <cell r="K1518">
            <v>0</v>
          </cell>
          <cell r="L1518">
            <v>5400000</v>
          </cell>
        </row>
        <row r="1519">
          <cell r="B1519" t="str">
            <v>USAH04AC</v>
          </cell>
          <cell r="C1519" t="str">
            <v>Usaha Tani/Abd. Moehid</v>
          </cell>
          <cell r="D1519" t="str">
            <v>Ach. Heriyanto</v>
          </cell>
          <cell r="E1519" t="str">
            <v>Dusun Talon, Kel. Panggung, Kec. Sampang</v>
          </cell>
          <cell r="F1519" t="str">
            <v>Sampang</v>
          </cell>
          <cell r="G1519" t="str">
            <v>3527032204850005</v>
          </cell>
          <cell r="H1519" t="str">
            <v>000000000000000</v>
          </cell>
          <cell r="J1519">
            <v>11279999.999908801</v>
          </cell>
          <cell r="K1519">
            <v>0</v>
          </cell>
          <cell r="L1519">
            <v>11279999.999908801</v>
          </cell>
        </row>
        <row r="1520">
          <cell r="B1520" t="str">
            <v>USAH05AC</v>
          </cell>
          <cell r="C1520" t="str">
            <v>Usaha Tani/Abd. Moehid</v>
          </cell>
          <cell r="D1520" t="str">
            <v>Hj. Hozaimiyah</v>
          </cell>
          <cell r="E1520" t="str">
            <v>Dsn. Duko, Kel. Tambelangan, Kec. Tambelangan</v>
          </cell>
          <cell r="F1520" t="str">
            <v>Sampang</v>
          </cell>
          <cell r="G1520" t="str">
            <v>3527084508740005</v>
          </cell>
          <cell r="H1520" t="str">
            <v>000000000000000</v>
          </cell>
          <cell r="J1520">
            <v>5560000</v>
          </cell>
          <cell r="K1520">
            <v>0</v>
          </cell>
          <cell r="L1520">
            <v>5560000</v>
          </cell>
        </row>
        <row r="1521">
          <cell r="B1521" t="str">
            <v>USAH06AC</v>
          </cell>
          <cell r="C1521" t="str">
            <v>Usaha Tani/Abd. Moehid</v>
          </cell>
          <cell r="D1521" t="str">
            <v>Syamsuri</v>
          </cell>
          <cell r="E1521" t="str">
            <v>Dsn. Dajaan Timur, Kel. Tambelangan, Kec. Tambelangan</v>
          </cell>
          <cell r="F1521" t="str">
            <v>Sampang</v>
          </cell>
          <cell r="G1521" t="str">
            <v>3527081608890007</v>
          </cell>
          <cell r="H1521" t="str">
            <v>000000000000000</v>
          </cell>
          <cell r="J1521">
            <v>5039999.9999549994</v>
          </cell>
          <cell r="K1521">
            <v>0</v>
          </cell>
          <cell r="L1521">
            <v>5039999.9999549994</v>
          </cell>
        </row>
        <row r="1522">
          <cell r="B1522" t="str">
            <v>USAH07AC</v>
          </cell>
          <cell r="C1522" t="str">
            <v>Usaha Tani/Abd. Moehid</v>
          </cell>
          <cell r="D1522" t="str">
            <v>H. Syaiful Ansori</v>
          </cell>
          <cell r="E1522" t="str">
            <v>Dsn. Duko, Kel. Tambelangan, Kec. Tambelangan</v>
          </cell>
          <cell r="F1522" t="str">
            <v>Sampang</v>
          </cell>
          <cell r="G1522" t="str">
            <v>3527083012650001</v>
          </cell>
          <cell r="H1522" t="str">
            <v>000000000000000</v>
          </cell>
          <cell r="J1522">
            <v>0</v>
          </cell>
          <cell r="K1522">
            <v>0</v>
          </cell>
          <cell r="L1522">
            <v>0</v>
          </cell>
        </row>
        <row r="1523">
          <cell r="B1523" t="str">
            <v>USAH08AC</v>
          </cell>
          <cell r="C1523" t="str">
            <v>Usaha Tani/Abd. Moehid</v>
          </cell>
          <cell r="D1523" t="str">
            <v>Sakur</v>
          </cell>
          <cell r="E1523" t="str">
            <v>Dsn. Jianyar, Kel. Aeng Sareh, Kec. Sampang</v>
          </cell>
          <cell r="F1523" t="str">
            <v>Sampang</v>
          </cell>
          <cell r="G1523" t="str">
            <v>3527030204630001</v>
          </cell>
          <cell r="H1523" t="str">
            <v>000000000000000</v>
          </cell>
          <cell r="J1523">
            <v>0</v>
          </cell>
          <cell r="K1523">
            <v>0</v>
          </cell>
          <cell r="L1523">
            <v>0</v>
          </cell>
        </row>
        <row r="1524">
          <cell r="B1524" t="str">
            <v>USAH09AC</v>
          </cell>
          <cell r="C1524" t="str">
            <v>Usaha Tani/Abd. Moehid</v>
          </cell>
          <cell r="D1524" t="str">
            <v>Eva</v>
          </cell>
          <cell r="E1524" t="str">
            <v>Dsn. Bandungan, RT.001/RW.002, Kel. Karang Penang Onjur, Kec. Karangpenang</v>
          </cell>
          <cell r="F1524" t="str">
            <v>Sampang</v>
          </cell>
          <cell r="G1524" t="str">
            <v>3527146311840003</v>
          </cell>
          <cell r="H1524" t="str">
            <v>000000000000000</v>
          </cell>
          <cell r="J1524">
            <v>2780000</v>
          </cell>
          <cell r="K1524">
            <v>0</v>
          </cell>
          <cell r="L1524">
            <v>2780000</v>
          </cell>
        </row>
        <row r="1525">
          <cell r="B1525" t="str">
            <v>USAH10AC</v>
          </cell>
          <cell r="C1525" t="str">
            <v>Usaha Tani/Abd. Moehid</v>
          </cell>
          <cell r="D1525" t="str">
            <v>Syifauddin</v>
          </cell>
          <cell r="E1525" t="str">
            <v>Dsn. Sekolan, Kel. Blu'uran, Kec. Karang Penang</v>
          </cell>
          <cell r="F1525" t="str">
            <v>Sampang</v>
          </cell>
          <cell r="G1525" t="str">
            <v>7174041709820004</v>
          </cell>
          <cell r="H1525" t="str">
            <v>000000000000000</v>
          </cell>
          <cell r="J1525">
            <v>7519999.9999392014</v>
          </cell>
          <cell r="K1525">
            <v>0</v>
          </cell>
          <cell r="L1525">
            <v>7519999.9999392014</v>
          </cell>
        </row>
        <row r="1526">
          <cell r="B1526" t="str">
            <v>USAH11AC</v>
          </cell>
          <cell r="C1526" t="str">
            <v>Usaha Tani/Abd. Moehid</v>
          </cell>
          <cell r="D1526" t="str">
            <v>Moch. Saihu</v>
          </cell>
          <cell r="E1526" t="str">
            <v>Dsn. Bandungan, Kel. Karang Penang Onjur, Kec. Karang Penang</v>
          </cell>
          <cell r="F1526" t="str">
            <v>Sampang</v>
          </cell>
          <cell r="G1526" t="str">
            <v>3527140902800001</v>
          </cell>
          <cell r="H1526" t="str">
            <v>000000000000000</v>
          </cell>
          <cell r="J1526">
            <v>0</v>
          </cell>
          <cell r="K1526">
            <v>0</v>
          </cell>
          <cell r="L1526">
            <v>0</v>
          </cell>
        </row>
        <row r="1527">
          <cell r="B1527" t="str">
            <v>USAH12AC</v>
          </cell>
          <cell r="C1527" t="str">
            <v>Usaha Tani/Abd. Moehid</v>
          </cell>
          <cell r="D1527" t="str">
            <v>Nuria Ulfa</v>
          </cell>
          <cell r="E1527" t="str">
            <v>Dsn. Duko, Kel. Tambelangan, Kec. Tambelangan</v>
          </cell>
          <cell r="F1527" t="str">
            <v>Sampang</v>
          </cell>
          <cell r="G1527" t="str">
            <v>3527085212710004</v>
          </cell>
          <cell r="H1527" t="str">
            <v>000000000000000</v>
          </cell>
          <cell r="J1527">
            <v>2160000</v>
          </cell>
          <cell r="K1527">
            <v>0</v>
          </cell>
          <cell r="L1527">
            <v>2160000</v>
          </cell>
        </row>
        <row r="1528">
          <cell r="B1528" t="str">
            <v>USAH13AC</v>
          </cell>
          <cell r="C1528" t="str">
            <v>Usaha Tani/Abd. Moehid</v>
          </cell>
          <cell r="D1528" t="str">
            <v>Holili</v>
          </cell>
          <cell r="E1528" t="str">
            <v>Dsn. Duko, Kel. Tambelangan, Kec. Tambelangan</v>
          </cell>
          <cell r="F1528" t="str">
            <v>Sampang</v>
          </cell>
          <cell r="G1528" t="str">
            <v>3527080805760001</v>
          </cell>
          <cell r="H1528" t="str">
            <v>000000000000000</v>
          </cell>
          <cell r="J1528">
            <v>5560000</v>
          </cell>
          <cell r="K1528">
            <v>0</v>
          </cell>
          <cell r="L1528">
            <v>5560000</v>
          </cell>
        </row>
        <row r="1529">
          <cell r="B1529" t="str">
            <v>USAH14AC</v>
          </cell>
          <cell r="C1529" t="str">
            <v>Usaha Tani/Abd. Moehid</v>
          </cell>
          <cell r="D1529" t="str">
            <v>Hoiri</v>
          </cell>
          <cell r="E1529" t="str">
            <v>Dsn. Olor, Kel. Sokobanah Laok, Kec. Sokobanah</v>
          </cell>
          <cell r="F1529" t="str">
            <v>Sampang</v>
          </cell>
          <cell r="G1529" t="str">
            <v>3527110707690001</v>
          </cell>
          <cell r="H1529" t="str">
            <v>000000000000000</v>
          </cell>
          <cell r="J1529">
            <v>0</v>
          </cell>
          <cell r="K1529">
            <v>0</v>
          </cell>
          <cell r="L1529">
            <v>0</v>
          </cell>
        </row>
        <row r="1530">
          <cell r="B1530" t="str">
            <v>USAH15AC</v>
          </cell>
          <cell r="C1530" t="str">
            <v>Usaha Tani/Abd. Moehid</v>
          </cell>
          <cell r="D1530" t="str">
            <v>Subaidi</v>
          </cell>
          <cell r="E1530" t="str">
            <v>Dsn. Pandian, Kel. Dharma Tanjung, Kec. Camplong</v>
          </cell>
          <cell r="F1530" t="str">
            <v>Sampang</v>
          </cell>
          <cell r="G1530" t="str">
            <v>3527042506810001</v>
          </cell>
          <cell r="H1530" t="str">
            <v>000000000000000</v>
          </cell>
          <cell r="J1530">
            <v>0</v>
          </cell>
          <cell r="K1530">
            <v>0</v>
          </cell>
          <cell r="L1530">
            <v>0</v>
          </cell>
        </row>
        <row r="1531">
          <cell r="B1531" t="str">
            <v>USAH16AC</v>
          </cell>
          <cell r="C1531" t="str">
            <v>Usaha Tani/Abd. Moehid</v>
          </cell>
          <cell r="D1531" t="str">
            <v>Hozaini</v>
          </cell>
          <cell r="E1531" t="str">
            <v>Dsn. Duko, Kel. Tambelangan, Kec. Tambelangan</v>
          </cell>
          <cell r="F1531" t="str">
            <v>Sampang</v>
          </cell>
          <cell r="G1531" t="str">
            <v>3527082104690002</v>
          </cell>
          <cell r="H1531" t="str">
            <v>000000000000000</v>
          </cell>
          <cell r="J1531">
            <v>0</v>
          </cell>
          <cell r="K1531">
            <v>0</v>
          </cell>
          <cell r="L1531">
            <v>0</v>
          </cell>
        </row>
        <row r="1532">
          <cell r="B1532" t="str">
            <v>USAH17AC</v>
          </cell>
          <cell r="C1532" t="str">
            <v>Usaha Tani/Abd. Moehid</v>
          </cell>
          <cell r="D1532" t="str">
            <v>H Lutfi</v>
          </cell>
          <cell r="E1532" t="str">
            <v>Dsn. Sang Sang, Kel. Omben, Kec. Omben</v>
          </cell>
          <cell r="F1532" t="str">
            <v>Sampang</v>
          </cell>
          <cell r="G1532" t="str">
            <v>3527050107611302</v>
          </cell>
          <cell r="H1532" t="str">
            <v>000000000000000</v>
          </cell>
          <cell r="J1532">
            <v>0</v>
          </cell>
          <cell r="K1532">
            <v>0</v>
          </cell>
          <cell r="L1532">
            <v>0</v>
          </cell>
        </row>
        <row r="1533">
          <cell r="B1533" t="str">
            <v>USAH18AC</v>
          </cell>
          <cell r="C1533" t="str">
            <v>Usaha Tani/Abd. Moehid</v>
          </cell>
          <cell r="D1533" t="str">
            <v>Hosilah</v>
          </cell>
          <cell r="E1533" t="str">
            <v>Dsn. Sang Sang, Kel. Omben, Kec. Omben</v>
          </cell>
          <cell r="F1533" t="str">
            <v>Sampang</v>
          </cell>
          <cell r="G1533" t="str">
            <v>3527054107701548</v>
          </cell>
          <cell r="H1533" t="str">
            <v>000000000000000</v>
          </cell>
          <cell r="J1533">
            <v>0</v>
          </cell>
          <cell r="K1533">
            <v>0</v>
          </cell>
          <cell r="L1533">
            <v>0</v>
          </cell>
        </row>
        <row r="1534">
          <cell r="B1534" t="str">
            <v>USAH19AC</v>
          </cell>
          <cell r="C1534" t="str">
            <v>Usaha Tani/Abd. Moehid</v>
          </cell>
          <cell r="D1534" t="str">
            <v>Fatoni</v>
          </cell>
          <cell r="E1534" t="str">
            <v>Dsn. Bungkak, Kel. Batorasang, Kec. Tambelangan</v>
          </cell>
          <cell r="F1534" t="str">
            <v>Sampang</v>
          </cell>
          <cell r="G1534" t="str">
            <v>3527082111660002</v>
          </cell>
          <cell r="H1534" t="str">
            <v>000000000000000</v>
          </cell>
          <cell r="J1534">
            <v>0</v>
          </cell>
          <cell r="K1534">
            <v>0</v>
          </cell>
          <cell r="L1534">
            <v>0</v>
          </cell>
        </row>
        <row r="1535">
          <cell r="B1535" t="str">
            <v>USAH20AC</v>
          </cell>
          <cell r="C1535" t="str">
            <v>Usaha Tani/Abd. Moehid</v>
          </cell>
          <cell r="D1535" t="str">
            <v>H Husnol Ilmi Fahmi</v>
          </cell>
          <cell r="E1535" t="str">
            <v>Dsn. Duko, Kel. Tambelangan, Kec. Tambelangan</v>
          </cell>
          <cell r="F1535" t="str">
            <v>Sampang</v>
          </cell>
          <cell r="G1535" t="str">
            <v>3527080107610067</v>
          </cell>
          <cell r="H1535" t="str">
            <v>000000000000000</v>
          </cell>
          <cell r="J1535">
            <v>0</v>
          </cell>
          <cell r="K1535">
            <v>0</v>
          </cell>
          <cell r="L1535">
            <v>0</v>
          </cell>
        </row>
        <row r="1536">
          <cell r="B1536" t="str">
            <v>USAH21AC</v>
          </cell>
          <cell r="C1536" t="str">
            <v>Usaha Tani/Abd. Moehid</v>
          </cell>
          <cell r="D1536" t="str">
            <v>Holiyah</v>
          </cell>
          <cell r="E1536" t="str">
            <v>Dusun Nongkesan, Kel. Tamberudaya, Kec. Sokobanah</v>
          </cell>
          <cell r="F1536" t="str">
            <v>Sampang</v>
          </cell>
          <cell r="G1536" t="str">
            <v>3527114508820006</v>
          </cell>
          <cell r="H1536" t="str">
            <v>000000000000000</v>
          </cell>
          <cell r="J1536">
            <v>0</v>
          </cell>
          <cell r="K1536">
            <v>0</v>
          </cell>
          <cell r="L1536">
            <v>0</v>
          </cell>
        </row>
        <row r="1537">
          <cell r="B1537" t="str">
            <v>USAH22AC</v>
          </cell>
          <cell r="C1537" t="str">
            <v>Usaha Tani/Abd. Moehid</v>
          </cell>
          <cell r="D1537" t="str">
            <v>Zen Amin Jakfar</v>
          </cell>
          <cell r="E1537" t="str">
            <v>Dusun Batulengger Barat, Kel. Bira Tengah, Kec. Sokobanah</v>
          </cell>
          <cell r="F1537" t="str">
            <v>Sampang</v>
          </cell>
          <cell r="G1537" t="str">
            <v>3527110810500004</v>
          </cell>
          <cell r="H1537" t="str">
            <v>000000000000000</v>
          </cell>
          <cell r="J1537">
            <v>0</v>
          </cell>
          <cell r="K1537">
            <v>0</v>
          </cell>
          <cell r="L1537">
            <v>0</v>
          </cell>
        </row>
        <row r="1538">
          <cell r="B1538" t="str">
            <v>WASI01AC</v>
          </cell>
          <cell r="C1538" t="str">
            <v>Wasir/Rondiyah</v>
          </cell>
          <cell r="D1538" t="str">
            <v>Ahmad Khoiruddin</v>
          </cell>
          <cell r="E1538" t="str">
            <v>Sumbermulyo, RT.005/RW.001, Kel. Sumbermulyo, Kec. Sarang</v>
          </cell>
          <cell r="F1538" t="str">
            <v>Rembang</v>
          </cell>
          <cell r="G1538" t="str">
            <v>3317052812020002</v>
          </cell>
          <cell r="H1538" t="str">
            <v>000000000000000</v>
          </cell>
          <cell r="J1538">
            <v>0</v>
          </cell>
          <cell r="K1538">
            <v>0</v>
          </cell>
          <cell r="L1538">
            <v>0</v>
          </cell>
        </row>
        <row r="1539">
          <cell r="B1539" t="str">
            <v>WASI02AC</v>
          </cell>
          <cell r="C1539" t="str">
            <v>Wasir/Rondiyah</v>
          </cell>
          <cell r="D1539" t="str">
            <v>Suyikno</v>
          </cell>
          <cell r="E1539" t="str">
            <v>Sumber Mulyo, RT.001/RW.001, Kel. Sumbermulyo, Kec. Sarang</v>
          </cell>
          <cell r="F1539" t="str">
            <v>Rembang</v>
          </cell>
          <cell r="G1539" t="str">
            <v>3317052506850004</v>
          </cell>
          <cell r="H1539" t="str">
            <v>000000000000000</v>
          </cell>
          <cell r="J1539">
            <v>0</v>
          </cell>
          <cell r="K1539">
            <v>0</v>
          </cell>
          <cell r="L1539">
            <v>0</v>
          </cell>
        </row>
        <row r="1540">
          <cell r="B1540" t="str">
            <v>WASI03AC</v>
          </cell>
          <cell r="C1540" t="str">
            <v>Wasir/Rondiyah</v>
          </cell>
          <cell r="D1540" t="str">
            <v>Nia Yuanita</v>
          </cell>
          <cell r="E1540" t="str">
            <v>Gonggang, RT.006/RW.002, Kel. Gonggang, Kec. Sarang</v>
          </cell>
          <cell r="F1540" t="str">
            <v>Rembang</v>
          </cell>
          <cell r="G1540" t="str">
            <v>3317054404870003</v>
          </cell>
          <cell r="H1540" t="str">
            <v>000000000000000</v>
          </cell>
          <cell r="J1540">
            <v>0</v>
          </cell>
          <cell r="K1540">
            <v>0</v>
          </cell>
          <cell r="L1540">
            <v>0</v>
          </cell>
        </row>
        <row r="1541">
          <cell r="B1541" t="str">
            <v>WASI04AC</v>
          </cell>
          <cell r="C1541" t="str">
            <v>Wasir/Rondiyah</v>
          </cell>
          <cell r="D1541" t="str">
            <v>Nor Hayati</v>
          </cell>
          <cell r="E1541" t="str">
            <v>Ds. Kalipang, RT.002/RW.003, Kel. Kalipang, Kec. Sarang</v>
          </cell>
          <cell r="F1541" t="str">
            <v>Rembang</v>
          </cell>
          <cell r="G1541" t="str">
            <v>3317056507860002</v>
          </cell>
          <cell r="H1541" t="str">
            <v>000000000000000</v>
          </cell>
          <cell r="J1541">
            <v>0</v>
          </cell>
          <cell r="K1541">
            <v>0</v>
          </cell>
          <cell r="L1541">
            <v>0</v>
          </cell>
        </row>
        <row r="1542">
          <cell r="B1542" t="str">
            <v>WASI05AC</v>
          </cell>
          <cell r="C1542" t="str">
            <v>Wasir/Rondiyah</v>
          </cell>
          <cell r="D1542" t="str">
            <v>Ahmad Syafii</v>
          </cell>
          <cell r="E1542" t="str">
            <v>Sumbermulyo, RT.001/RW.001, Kel. Sumbermulyo, Kec. Sarang</v>
          </cell>
          <cell r="F1542" t="str">
            <v>Rembang</v>
          </cell>
          <cell r="G1542" t="str">
            <v>3317051208810001</v>
          </cell>
          <cell r="H1542" t="str">
            <v>000000000000000</v>
          </cell>
          <cell r="J1542">
            <v>0</v>
          </cell>
          <cell r="K1542">
            <v>0</v>
          </cell>
          <cell r="L1542">
            <v>0</v>
          </cell>
        </row>
        <row r="1543">
          <cell r="B1543" t="str">
            <v>WASI07AC</v>
          </cell>
          <cell r="C1543" t="str">
            <v>Wasir/Rondiyah</v>
          </cell>
          <cell r="D1543" t="str">
            <v>Ramini</v>
          </cell>
          <cell r="E1543" t="str">
            <v>Sumbermulyo, RT.002/RW.001, Kel.Sumbermulyo, Kec. Sarang</v>
          </cell>
          <cell r="F1543" t="str">
            <v>Rembang</v>
          </cell>
          <cell r="G1543" t="str">
            <v>3317055707780001</v>
          </cell>
          <cell r="H1543" t="str">
            <v>000000000000000</v>
          </cell>
          <cell r="J1543">
            <v>0</v>
          </cell>
          <cell r="K1543">
            <v>0</v>
          </cell>
          <cell r="L1543">
            <v>0</v>
          </cell>
        </row>
        <row r="1544">
          <cell r="B1544" t="str">
            <v>WASI08AC</v>
          </cell>
          <cell r="C1544" t="str">
            <v>Wasir/Rondiyah</v>
          </cell>
          <cell r="D1544" t="str">
            <v>Sukarji</v>
          </cell>
          <cell r="E1544" t="str">
            <v>Sumber Mulyo, RT.010/RW.002, Kel. Sumbermulyo, Kec. Sarang</v>
          </cell>
          <cell r="F1544" t="str">
            <v>Rembang</v>
          </cell>
          <cell r="G1544" t="str">
            <v>3317050204880001</v>
          </cell>
          <cell r="H1544" t="str">
            <v>000000000000000</v>
          </cell>
          <cell r="J1544">
            <v>0</v>
          </cell>
          <cell r="K1544">
            <v>0</v>
          </cell>
          <cell r="L1544">
            <v>0</v>
          </cell>
        </row>
        <row r="1545">
          <cell r="B1545" t="str">
            <v>WASI09AC</v>
          </cell>
          <cell r="C1545" t="str">
            <v>Wasir/Rondiyah</v>
          </cell>
          <cell r="D1545" t="str">
            <v>Sri Wahyuni</v>
          </cell>
          <cell r="E1545" t="str">
            <v>Sumbermulyo, RT.005/RW.001, Kel. Sumbermulyo, Kec. Sarang</v>
          </cell>
          <cell r="F1545" t="str">
            <v>Rembang</v>
          </cell>
          <cell r="G1545" t="str">
            <v>3317054411840003</v>
          </cell>
          <cell r="H1545" t="str">
            <v>000000000000000</v>
          </cell>
          <cell r="J1545">
            <v>0</v>
          </cell>
          <cell r="K1545">
            <v>0</v>
          </cell>
          <cell r="L1545">
            <v>0</v>
          </cell>
        </row>
        <row r="1546">
          <cell r="B1546" t="str">
            <v>ALAS01AC</v>
          </cell>
          <cell r="C1546" t="str">
            <v>Alaska Prima Perkasa, CV</v>
          </cell>
          <cell r="D1546" t="str">
            <v>Sapirah</v>
          </cell>
          <cell r="E1546" t="str">
            <v>Jl. SH. Wardoyo LR. Kencana III, RT.015/RW.003, Kel. Lima Ulu, Kec. Seberang Ulu Satu</v>
          </cell>
          <cell r="F1546" t="str">
            <v>Palembang</v>
          </cell>
          <cell r="G1546" t="str">
            <v>1671024702030019</v>
          </cell>
          <cell r="H1546" t="str">
            <v>000000000000000</v>
          </cell>
          <cell r="J1546">
            <v>0</v>
          </cell>
          <cell r="K1546">
            <v>0</v>
          </cell>
          <cell r="L1546">
            <v>0</v>
          </cell>
        </row>
        <row r="1547">
          <cell r="B1547" t="str">
            <v>RUDY01AC</v>
          </cell>
          <cell r="C1547" t="str">
            <v>Rudy advansia</v>
          </cell>
          <cell r="D1547" t="str">
            <v>Rudi Hari Purnomo</v>
          </cell>
          <cell r="E1547" t="str">
            <v>Desa Kedungsumber, RT.012/RW.004, Kel. Kedungsumber, Kec. Temanyang</v>
          </cell>
          <cell r="F1547" t="str">
            <v>Bojonegoro</v>
          </cell>
          <cell r="G1547" t="str">
            <v>3522210906890001</v>
          </cell>
          <cell r="H1547" t="str">
            <v>000000000000000</v>
          </cell>
          <cell r="I1547" t="str">
            <v>di cek anam 18/11/2024 valid</v>
          </cell>
          <cell r="J1547">
            <v>0</v>
          </cell>
          <cell r="K1547">
            <v>0</v>
          </cell>
          <cell r="L1547">
            <v>0</v>
          </cell>
        </row>
        <row r="1548">
          <cell r="B1548" t="str">
            <v>BASU06AC</v>
          </cell>
          <cell r="C1548" t="str">
            <v>Rudy advansia</v>
          </cell>
          <cell r="D1548" t="str">
            <v>Ardhylla Fajar</v>
          </cell>
          <cell r="E1548" t="str">
            <v>Desa Kedungsumber, RT.012/RW.004, Kel. Kedungsumber, Kec. Temayang</v>
          </cell>
          <cell r="F1548" t="str">
            <v>Bojonegoro</v>
          </cell>
          <cell r="G1548" t="str">
            <v>3522215811890001</v>
          </cell>
          <cell r="H1548" t="str">
            <v>000000000000000</v>
          </cell>
          <cell r="I1548" t="str">
            <v>awalnya di pake acaknya Sumber Tani, UD/Basuni - di cek anam 18/11/2024 valid</v>
          </cell>
          <cell r="J1548">
            <v>0</v>
          </cell>
          <cell r="K1548">
            <v>0</v>
          </cell>
          <cell r="L1548">
            <v>0</v>
          </cell>
          <cell r="M1548" t="str">
            <v>GANTI Per Juli 2024 TIDAK BISA UPLOAD</v>
          </cell>
        </row>
        <row r="1549">
          <cell r="B1549" t="str">
            <v>BIAK01AC</v>
          </cell>
          <cell r="C1549" t="str">
            <v>Surya Biak</v>
          </cell>
          <cell r="D1549" t="str">
            <v>Sartika Musa</v>
          </cell>
          <cell r="E1549" t="str">
            <v>Lingkungan VI, RT.006/RW.000, Kel. Mahawu, Kec. Tuminting</v>
          </cell>
          <cell r="F1549" t="str">
            <v>Manado</v>
          </cell>
          <cell r="G1549" t="str">
            <v>7171035407960001</v>
          </cell>
          <cell r="H1549" t="str">
            <v>000000000000000</v>
          </cell>
          <cell r="J1549">
            <v>0</v>
          </cell>
          <cell r="K1549">
            <v>0</v>
          </cell>
          <cell r="L1549">
            <v>0</v>
          </cell>
        </row>
        <row r="1550">
          <cell r="B1550" t="str">
            <v>BIAK02AC</v>
          </cell>
          <cell r="C1550" t="str">
            <v>Surya Biak</v>
          </cell>
          <cell r="D1550" t="str">
            <v>Rizki Rahman Kasim</v>
          </cell>
          <cell r="E1550" t="str">
            <v>Lingkungan VI, RT.000/RW.006, Kel. Mahawu, Kec. Tuminting</v>
          </cell>
          <cell r="F1550" t="str">
            <v>Manado</v>
          </cell>
          <cell r="G1550" t="str">
            <v>7171020902960001</v>
          </cell>
          <cell r="H1550" t="str">
            <v>000000000000000</v>
          </cell>
          <cell r="J1550">
            <v>0</v>
          </cell>
          <cell r="K1550">
            <v>0</v>
          </cell>
          <cell r="L1550">
            <v>0</v>
          </cell>
        </row>
        <row r="1551">
          <cell r="B1551" t="str">
            <v>PESO01AC</v>
          </cell>
          <cell r="C1551" t="str">
            <v>Pesona Tani</v>
          </cell>
          <cell r="D1551" t="str">
            <v>Jahruddin</v>
          </cell>
          <cell r="E1551" t="str">
            <v>Dusun Tani Mulya, RT.008/RW.004, Kel. Naru, Kec. Woha</v>
          </cell>
          <cell r="F1551" t="str">
            <v>Bima</v>
          </cell>
          <cell r="G1551" t="str">
            <v>5206030505731006</v>
          </cell>
          <cell r="H1551" t="str">
            <v>000000000000000</v>
          </cell>
          <cell r="J1551">
            <v>0</v>
          </cell>
          <cell r="K1551">
            <v>0</v>
          </cell>
          <cell r="L1551">
            <v>0</v>
          </cell>
        </row>
        <row r="1552">
          <cell r="B1552" t="str">
            <v>PESO02AC</v>
          </cell>
          <cell r="C1552" t="str">
            <v>Pesona Tani</v>
          </cell>
          <cell r="D1552" t="str">
            <v>Syamsudin</v>
          </cell>
          <cell r="E1552" t="str">
            <v>Waduwani, RT.003/RW.001, Kel. Waduwani, Kec. Woha</v>
          </cell>
          <cell r="F1552" t="str">
            <v>Bima</v>
          </cell>
          <cell r="G1552" t="str">
            <v>5206030106661004</v>
          </cell>
          <cell r="H1552" t="str">
            <v>000000000000000</v>
          </cell>
          <cell r="J1552">
            <v>0</v>
          </cell>
          <cell r="K1552">
            <v>0</v>
          </cell>
          <cell r="L1552">
            <v>0</v>
          </cell>
        </row>
        <row r="1553">
          <cell r="B1553" t="str">
            <v>MAJU04AC</v>
          </cell>
          <cell r="C1553" t="str">
            <v>Maju Jaya/Hasan</v>
          </cell>
          <cell r="D1553" t="str">
            <v>Abd Rohman</v>
          </cell>
          <cell r="E1553" t="str">
            <v>Wangkal, RT.001/RW.002, Kel. Wangkalwetan, Kec. Kejayan</v>
          </cell>
          <cell r="F1553" t="str">
            <v>Pasuruan</v>
          </cell>
          <cell r="G1553" t="str">
            <v>3514060101010015</v>
          </cell>
          <cell r="H1553" t="str">
            <v>000000000000000</v>
          </cell>
          <cell r="I1553" t="str">
            <v>kode 01-03 dipake di acak lama ( Non KTP )</v>
          </cell>
          <cell r="J1553">
            <v>0</v>
          </cell>
          <cell r="K1553">
            <v>0</v>
          </cell>
          <cell r="L1553">
            <v>0</v>
          </cell>
        </row>
        <row r="1554">
          <cell r="B1554" t="str">
            <v>SUKA01AC</v>
          </cell>
          <cell r="C1554" t="str">
            <v>Barokah Tani, Toko/Sukardi</v>
          </cell>
          <cell r="D1554" t="str">
            <v>Ita Aprilia</v>
          </cell>
          <cell r="E1554" t="str">
            <v>Dusun Semenrejo, RT.001/Rw.001, Kel. Truwolu, Kec. Ngaringan</v>
          </cell>
          <cell r="F1554" t="str">
            <v>Grobogan</v>
          </cell>
          <cell r="G1554" t="str">
            <v>3315096004000002</v>
          </cell>
          <cell r="H1554" t="str">
            <v>000000000000000</v>
          </cell>
          <cell r="J1554">
            <v>213432000</v>
          </cell>
          <cell r="K1554">
            <v>0</v>
          </cell>
          <cell r="L1554">
            <v>213432000</v>
          </cell>
        </row>
        <row r="1555">
          <cell r="B1555" t="str">
            <v>SUKA02AC</v>
          </cell>
          <cell r="C1555" t="str">
            <v>Barokah Tani, Toko/Sukardi</v>
          </cell>
          <cell r="D1555" t="str">
            <v>Putra Aldo Seno</v>
          </cell>
          <cell r="E1555" t="str">
            <v>Dukuh Manggir, RT.001/RW.001, Kel. Ngumbul, Kec. Todonan</v>
          </cell>
          <cell r="F1555" t="str">
            <v>Blora</v>
          </cell>
          <cell r="G1555" t="str">
            <v>3316142910030005</v>
          </cell>
          <cell r="H1555" t="str">
            <v>000000000000000</v>
          </cell>
          <cell r="J1555">
            <v>234744000</v>
          </cell>
          <cell r="K1555">
            <v>0</v>
          </cell>
          <cell r="L1555">
            <v>234744000</v>
          </cell>
        </row>
        <row r="1556">
          <cell r="B1556" t="str">
            <v>SUKA03AC</v>
          </cell>
          <cell r="C1556" t="str">
            <v>Barokah Tani, Toko/Sukardi</v>
          </cell>
          <cell r="D1556" t="str">
            <v>Siti Handayani</v>
          </cell>
          <cell r="E1556" t="str">
            <v>Dusun Doro, RT.003/RW.003, Kel. Tanjungsari, Kec. Kradenan</v>
          </cell>
          <cell r="F1556" t="str">
            <v>Grobogan</v>
          </cell>
          <cell r="G1556" t="str">
            <v>3315075709050002</v>
          </cell>
          <cell r="H1556" t="str">
            <v>000000000000000</v>
          </cell>
          <cell r="J1556">
            <v>222576000</v>
          </cell>
          <cell r="K1556">
            <v>0</v>
          </cell>
          <cell r="L1556">
            <v>222576000</v>
          </cell>
        </row>
        <row r="1557">
          <cell r="B1557" t="str">
            <v>SUKA04AC</v>
          </cell>
          <cell r="C1557" t="str">
            <v>Barokah Tani, Toko/Sukardi</v>
          </cell>
          <cell r="D1557" t="str">
            <v>Turmudi</v>
          </cell>
          <cell r="E1557" t="str">
            <v>Dusun Sawit, RT.006/RW.001, kel. Tanjungrejo, Kec. Wirosari</v>
          </cell>
          <cell r="F1557" t="str">
            <v>Grobogan</v>
          </cell>
          <cell r="G1557" t="str">
            <v>3315101008890002</v>
          </cell>
          <cell r="H1557" t="str">
            <v>000000000000000</v>
          </cell>
          <cell r="J1557">
            <v>189224000</v>
          </cell>
          <cell r="K1557">
            <v>0</v>
          </cell>
          <cell r="L1557">
            <v>189224000</v>
          </cell>
        </row>
        <row r="1558">
          <cell r="B1558" t="str">
            <v>SUKA05AC</v>
          </cell>
          <cell r="C1558" t="str">
            <v>Barokah Tani, Toko/Sukardi</v>
          </cell>
          <cell r="D1558" t="str">
            <v>Uma Rohmatul Kasanah</v>
          </cell>
          <cell r="E1558" t="str">
            <v>Dusun Jati Tengah, RT.002/RW.010, Kel. Tambakselo, Kec. Wirosari</v>
          </cell>
          <cell r="F1558" t="str">
            <v>Grobogan</v>
          </cell>
          <cell r="G1558" t="str">
            <v>3315105207000004</v>
          </cell>
          <cell r="H1558" t="str">
            <v>000000000000000</v>
          </cell>
          <cell r="J1558">
            <v>156432000</v>
          </cell>
          <cell r="K1558">
            <v>0</v>
          </cell>
          <cell r="L1558">
            <v>156432000</v>
          </cell>
        </row>
        <row r="1559">
          <cell r="B1559" t="str">
            <v>SUKA06AC</v>
          </cell>
          <cell r="C1559" t="str">
            <v>Barokah Tani, Toko/Sukardi</v>
          </cell>
          <cell r="D1559" t="str">
            <v>Dwi Agustin Nisak</v>
          </cell>
          <cell r="E1559" t="str">
            <v>Dukuh Manggir, RT.002/RW.001, Kel. Ngumbul, kec. Todanan</v>
          </cell>
          <cell r="F1559" t="str">
            <v>Blora</v>
          </cell>
          <cell r="G1559" t="str">
            <v>3316145208040002</v>
          </cell>
          <cell r="H1559" t="str">
            <v>000000000000000</v>
          </cell>
          <cell r="J1559">
            <v>208408000</v>
          </cell>
          <cell r="K1559">
            <v>0</v>
          </cell>
          <cell r="L1559">
            <v>208408000</v>
          </cell>
        </row>
        <row r="1560">
          <cell r="B1560" t="str">
            <v>SUKA07AC</v>
          </cell>
          <cell r="C1560" t="str">
            <v>Barokah Tani, Toko/Sukardi</v>
          </cell>
          <cell r="D1560" t="str">
            <v>Nufa Sri Rizki</v>
          </cell>
          <cell r="E1560" t="str">
            <v>Dusun Wonorejo RT.002/RW.009 , Kel. Tambakelo Kec. Wirosari</v>
          </cell>
          <cell r="F1560" t="str">
            <v>Grobogan</v>
          </cell>
          <cell r="G1560" t="str">
            <v>3315102608070001</v>
          </cell>
          <cell r="H1560" t="str">
            <v>000000000000000</v>
          </cell>
          <cell r="J1560">
            <v>0</v>
          </cell>
          <cell r="K1560">
            <v>0</v>
          </cell>
          <cell r="L1560">
            <v>0</v>
          </cell>
        </row>
        <row r="1561">
          <cell r="B1561" t="str">
            <v>SUKA08AC</v>
          </cell>
          <cell r="C1561" t="str">
            <v>Barokah Tani, Toko/Sukardi</v>
          </cell>
          <cell r="D1561" t="str">
            <v>Andika Sukma Prihantika</v>
          </cell>
          <cell r="E1561" t="str">
            <v>Jalan A Yani RT.002/RW.006 , Kel. Kunden Kec. Wirosari</v>
          </cell>
          <cell r="F1561" t="str">
            <v>Grobogan</v>
          </cell>
          <cell r="G1561" t="str">
            <v>3315105510000001</v>
          </cell>
          <cell r="H1561" t="str">
            <v>000000000000000</v>
          </cell>
          <cell r="J1561">
            <v>0</v>
          </cell>
          <cell r="K1561">
            <v>0</v>
          </cell>
          <cell r="L1561">
            <v>0</v>
          </cell>
        </row>
        <row r="1562">
          <cell r="B1562" t="str">
            <v>SUKA09AC</v>
          </cell>
          <cell r="C1562" t="str">
            <v>Barokah Tani, Toko/Sukardi</v>
          </cell>
          <cell r="D1562" t="str">
            <v>Riana Arofah</v>
          </cell>
          <cell r="E1562" t="str">
            <v>Dusun Krajan RT.003/RW.002 , Kel. Bandungsari Kec. Ngaringan</v>
          </cell>
          <cell r="F1562" t="str">
            <v>Grobogan</v>
          </cell>
          <cell r="G1562" t="str">
            <v>3328014612080002</v>
          </cell>
          <cell r="H1562" t="str">
            <v>000000000000000</v>
          </cell>
          <cell r="J1562">
            <v>0</v>
          </cell>
          <cell r="K1562">
            <v>0</v>
          </cell>
          <cell r="L1562">
            <v>0</v>
          </cell>
        </row>
        <row r="1563">
          <cell r="B1563" t="str">
            <v>SUKA10AC</v>
          </cell>
          <cell r="C1563" t="str">
            <v>Barokah Tani, Toko/Sukardi</v>
          </cell>
          <cell r="D1563" t="str">
            <v>Sri Wahyuni</v>
          </cell>
          <cell r="E1563" t="str">
            <v>Dusun Jati Tangah RT.002/RW.010 , Kel. Tambakselo Kec. Wirosari</v>
          </cell>
          <cell r="F1563" t="str">
            <v>Grobogan</v>
          </cell>
          <cell r="G1563" t="str">
            <v>3315105011780002</v>
          </cell>
          <cell r="H1563" t="str">
            <v>000000000000000</v>
          </cell>
          <cell r="J1563">
            <v>0</v>
          </cell>
          <cell r="K1563">
            <v>0</v>
          </cell>
          <cell r="L1563">
            <v>0</v>
          </cell>
        </row>
        <row r="1564">
          <cell r="B1564" t="str">
            <v>SUKA11AC</v>
          </cell>
          <cell r="C1564" t="str">
            <v>Barokah Tani, Toko/Sukardi</v>
          </cell>
          <cell r="D1564" t="str">
            <v>Rizal Andika</v>
          </cell>
          <cell r="E1564" t="str">
            <v>Dusun Jati Tengah RT.004/RW.010 ,Kel. Tambakselo Kec. Wirosari</v>
          </cell>
          <cell r="F1564" t="str">
            <v>Grobogan</v>
          </cell>
          <cell r="G1564" t="str">
            <v>3315102003060001</v>
          </cell>
          <cell r="H1564" t="str">
            <v>000000000000000</v>
          </cell>
          <cell r="J1564">
            <v>0</v>
          </cell>
          <cell r="K1564">
            <v>0</v>
          </cell>
          <cell r="L1564">
            <v>0</v>
          </cell>
        </row>
        <row r="1565">
          <cell r="B1565" t="str">
            <v>SUKA12AC</v>
          </cell>
          <cell r="C1565" t="str">
            <v>Barokah Tani, Toko/Sukardi</v>
          </cell>
          <cell r="D1565" t="str">
            <v>Rendy Roy Tianto</v>
          </cell>
          <cell r="E1565" t="str">
            <v>Todanan RT.003/RW.002 , Kel. Todanan Kec. Todanan</v>
          </cell>
          <cell r="F1565" t="str">
            <v>Blora</v>
          </cell>
          <cell r="G1565" t="str">
            <v>3316141504050004</v>
          </cell>
          <cell r="H1565" t="str">
            <v>000000000000000</v>
          </cell>
          <cell r="J1565">
            <v>0</v>
          </cell>
          <cell r="K1565">
            <v>0</v>
          </cell>
          <cell r="L1565">
            <v>0</v>
          </cell>
        </row>
        <row r="1566">
          <cell r="B1566" t="str">
            <v>DIAN01AC</v>
          </cell>
          <cell r="C1566" t="str">
            <v>Dian Anggraeni</v>
          </cell>
          <cell r="D1566" t="str">
            <v>Poerwoto</v>
          </cell>
          <cell r="E1566" t="str">
            <v>Simo Hilir 1-A2/81, RT.013/RW.003, Kel. Simomulyo Baru, Kec. Sukomanunggal</v>
          </cell>
          <cell r="F1566" t="str">
            <v>Surabaya</v>
          </cell>
          <cell r="G1566" t="str">
            <v>3578051012550001</v>
          </cell>
          <cell r="H1566" t="str">
            <v>000000000000000</v>
          </cell>
          <cell r="J1566">
            <v>0</v>
          </cell>
          <cell r="K1566">
            <v>0</v>
          </cell>
          <cell r="L1566">
            <v>0</v>
          </cell>
        </row>
        <row r="1567">
          <cell r="B1567" t="str">
            <v>SISW01AC</v>
          </cell>
          <cell r="C1567" t="str">
            <v>Anugrah Tani Sejahtera/Siswoyo Adi P</v>
          </cell>
          <cell r="D1567" t="str">
            <v>Ulvida Inayatul Fuad</v>
          </cell>
          <cell r="E1567" t="str">
            <v>Karangtengah, RT.003/RW.002, Kel. Karangtengah, Kec. Bogor</v>
          </cell>
          <cell r="F1567" t="str">
            <v>Nganjuk</v>
          </cell>
          <cell r="G1567" t="str">
            <v>3518137011960004</v>
          </cell>
          <cell r="H1567" t="str">
            <v>000000000000000</v>
          </cell>
          <cell r="I1567" t="str">
            <v>Karyawan Swasta</v>
          </cell>
          <cell r="J1567">
            <v>59533999.999909997</v>
          </cell>
          <cell r="K1567">
            <v>0</v>
          </cell>
          <cell r="L1567">
            <v>59533999.999909997</v>
          </cell>
        </row>
        <row r="1568">
          <cell r="B1568" t="str">
            <v>SISW02AC</v>
          </cell>
          <cell r="C1568" t="str">
            <v>Anugrah Tani Sejahtera/Siswoyo Adi P</v>
          </cell>
          <cell r="D1568" t="str">
            <v>Olivia Nagareth Vicki</v>
          </cell>
          <cell r="E1568" t="str">
            <v>Jalan DR Soetomo No. 106 RT.003/RW.003 , Kel. Gunung Simping Kec. Cilacap Tengah</v>
          </cell>
          <cell r="F1568" t="str">
            <v>Nganjuk</v>
          </cell>
          <cell r="G1568" t="str">
            <v>3518146102000002</v>
          </cell>
          <cell r="H1568" t="str">
            <v>000000000000000</v>
          </cell>
          <cell r="J1568">
            <v>64853999.999748364</v>
          </cell>
          <cell r="K1568">
            <v>0</v>
          </cell>
          <cell r="L1568">
            <v>64853999.999748364</v>
          </cell>
        </row>
        <row r="1569">
          <cell r="B1569" t="str">
            <v>REST01AC</v>
          </cell>
          <cell r="C1569" t="str">
            <v>Maju Riyan Tani/Resty</v>
          </cell>
          <cell r="D1569" t="str">
            <v>Hati Mamonto</v>
          </cell>
          <cell r="E1569" t="str">
            <v>Dusun I, Kel. Nonapan II, Kec. Poigar</v>
          </cell>
          <cell r="F1569" t="str">
            <v>Bolaang Mongondow</v>
          </cell>
          <cell r="G1569" t="str">
            <v>7101206104710302</v>
          </cell>
          <cell r="H1569" t="str">
            <v>000000000000000</v>
          </cell>
          <cell r="I1569" t="str">
            <v>IRT</v>
          </cell>
          <cell r="J1569">
            <v>0</v>
          </cell>
          <cell r="K1569">
            <v>0</v>
          </cell>
          <cell r="L1569">
            <v>0</v>
          </cell>
        </row>
        <row r="1570">
          <cell r="B1570" t="str">
            <v>IBRA01AC</v>
          </cell>
          <cell r="C1570" t="str">
            <v>Ibrahim Papua</v>
          </cell>
          <cell r="D1570" t="str">
            <v>Bayani Tompunu</v>
          </cell>
          <cell r="E1570" t="str">
            <v>Tanamon Utara, RW.007, Kel. Tanamon Utara, Kec. Sinonsayang</v>
          </cell>
          <cell r="F1570" t="str">
            <v>Minahasa Selatan</v>
          </cell>
          <cell r="G1570" t="str">
            <v>7105085707620001</v>
          </cell>
          <cell r="H1570" t="str">
            <v>000000000000000</v>
          </cell>
          <cell r="I1570" t="str">
            <v>IRT</v>
          </cell>
          <cell r="J1570">
            <v>0</v>
          </cell>
          <cell r="K1570">
            <v>0</v>
          </cell>
          <cell r="L1570">
            <v>0</v>
          </cell>
        </row>
        <row r="1571">
          <cell r="B1571" t="str">
            <v>IBRA02AC</v>
          </cell>
          <cell r="C1571" t="str">
            <v>Ibrahim Papua</v>
          </cell>
          <cell r="D1571" t="str">
            <v>Djubaili Katili</v>
          </cell>
          <cell r="E1571" t="str">
            <v>Tanamon Utara, RW.007, Kel. Tanamon Utara, Kec. Sinonsayang</v>
          </cell>
          <cell r="F1571" t="str">
            <v>Minahasa Selatan</v>
          </cell>
          <cell r="G1571" t="str">
            <v>7105081003590001</v>
          </cell>
          <cell r="H1571" t="str">
            <v>000000000000000</v>
          </cell>
          <cell r="I1571" t="str">
            <v>Petani/pekebun</v>
          </cell>
          <cell r="J1571">
            <v>0</v>
          </cell>
          <cell r="K1571">
            <v>0</v>
          </cell>
          <cell r="L1571">
            <v>0</v>
          </cell>
        </row>
        <row r="1572">
          <cell r="B1572" t="str">
            <v>ELVI01AC</v>
          </cell>
          <cell r="C1572" t="str">
            <v>Elvira Sahabat</v>
          </cell>
          <cell r="D1572" t="str">
            <v>Sultje Rantung</v>
          </cell>
          <cell r="E1572" t="str">
            <v>Lopana, RT.000/RW. 004, Kel. Lopana, Kec. Amurang Timur</v>
          </cell>
          <cell r="F1572" t="str">
            <v>Minahasa Selatan</v>
          </cell>
          <cell r="G1572" t="str">
            <v>7105186409720001</v>
          </cell>
          <cell r="H1572" t="str">
            <v>000000000000000</v>
          </cell>
          <cell r="I1572" t="str">
            <v>IRT</v>
          </cell>
          <cell r="J1572">
            <v>0</v>
          </cell>
          <cell r="K1572">
            <v>0</v>
          </cell>
          <cell r="L1572">
            <v>0</v>
          </cell>
        </row>
        <row r="1573">
          <cell r="B1573" t="str">
            <v>SEDE01AC</v>
          </cell>
          <cell r="C1573" t="str">
            <v>Sederhana Tani</v>
          </cell>
          <cell r="D1573" t="str">
            <v>Malik Islam</v>
          </cell>
          <cell r="E1573" t="str">
            <v>Jl. Gora Lingk. Nyangget, RT.001/RW 272, Kel. Selagalas, Kec. Sandubaya</v>
          </cell>
          <cell r="F1573" t="str">
            <v>Mataram</v>
          </cell>
          <cell r="G1573" t="str">
            <v>5271061508050001</v>
          </cell>
          <cell r="H1573" t="str">
            <v>000000000000000</v>
          </cell>
          <cell r="I1573" t="str">
            <v>Pelajar</v>
          </cell>
          <cell r="J1573">
            <v>60959999.99994041</v>
          </cell>
          <cell r="K1573">
            <v>0</v>
          </cell>
          <cell r="L1573">
            <v>60959999.99994041</v>
          </cell>
        </row>
        <row r="1574">
          <cell r="B1574" t="str">
            <v>SEDE02AC</v>
          </cell>
          <cell r="C1574" t="str">
            <v>Sederhana Tani</v>
          </cell>
          <cell r="D1574" t="str">
            <v>Moch. Hifzul Hilmi</v>
          </cell>
          <cell r="E1574" t="str">
            <v>Keluncing, RT.004/RW.000, Kel. Perian, Kec. Montong Gading</v>
          </cell>
          <cell r="F1574" t="str">
            <v>Lombok Timur</v>
          </cell>
          <cell r="G1574" t="str">
            <v>5201021901920002</v>
          </cell>
          <cell r="H1574" t="str">
            <v>000000000000000</v>
          </cell>
          <cell r="I1574" t="str">
            <v>Karywan Swasta</v>
          </cell>
          <cell r="J1574">
            <v>57679999.999901809</v>
          </cell>
          <cell r="K1574">
            <v>0</v>
          </cell>
          <cell r="L1574">
            <v>57679999.999901809</v>
          </cell>
        </row>
        <row r="1575">
          <cell r="B1575" t="str">
            <v>SEDE03AC</v>
          </cell>
          <cell r="C1575" t="str">
            <v>Sederhana Tani</v>
          </cell>
          <cell r="D1575" t="str">
            <v>Khairul Apriadi</v>
          </cell>
          <cell r="E1575" t="str">
            <v>Labuan Pandan, RT.002/RW.000, Kel. Labuan Pandan, Kec. Sambelia</v>
          </cell>
          <cell r="F1575" t="str">
            <v>Lombok Timur</v>
          </cell>
          <cell r="G1575" t="str">
            <v>5203100904950002</v>
          </cell>
          <cell r="H1575" t="str">
            <v>000000000000000</v>
          </cell>
          <cell r="I1575" t="str">
            <v>Mahasiswa</v>
          </cell>
          <cell r="J1575">
            <v>45999999.99990961</v>
          </cell>
          <cell r="K1575">
            <v>0</v>
          </cell>
          <cell r="L1575">
            <v>45999999.99990961</v>
          </cell>
        </row>
        <row r="1576">
          <cell r="B1576" t="str">
            <v>SEDE04AC</v>
          </cell>
          <cell r="C1576" t="str">
            <v>Sederhana Tani</v>
          </cell>
          <cell r="D1576" t="str">
            <v>H. Marzuki</v>
          </cell>
          <cell r="E1576" t="str">
            <v>Penyinggir RT.000/RW.000, Kel. Sikur Barat, Kec. Sikur</v>
          </cell>
          <cell r="F1576" t="str">
            <v>Lombok Timur</v>
          </cell>
          <cell r="G1576" t="str">
            <v>5203043112630032</v>
          </cell>
          <cell r="H1576" t="str">
            <v>000000000000000</v>
          </cell>
          <cell r="J1576">
            <v>63977599.999931768</v>
          </cell>
          <cell r="K1576">
            <v>0</v>
          </cell>
          <cell r="L1576">
            <v>63977599.999931768</v>
          </cell>
        </row>
        <row r="1577">
          <cell r="B1577" t="str">
            <v>JEMM01AC</v>
          </cell>
          <cell r="C1577" t="str">
            <v>Jemmy Mariansang</v>
          </cell>
          <cell r="D1577" t="str">
            <v>Rosmi Rumondor</v>
          </cell>
          <cell r="E1577" t="str">
            <v>Dusun II, RT.008/RW.000, Kel. Langagon, Kec. Bolaang</v>
          </cell>
          <cell r="F1577" t="str">
            <v>Bolaang Mongondow</v>
          </cell>
          <cell r="G1577" t="str">
            <v>7101134101800301</v>
          </cell>
          <cell r="H1577" t="str">
            <v>000000000000000</v>
          </cell>
          <cell r="I1577" t="str">
            <v>IRT</v>
          </cell>
          <cell r="J1577">
            <v>0</v>
          </cell>
          <cell r="K1577">
            <v>0</v>
          </cell>
          <cell r="L1577">
            <v>0</v>
          </cell>
        </row>
        <row r="1578">
          <cell r="B1578" t="str">
            <v>KHAR01AC</v>
          </cell>
          <cell r="C1578" t="str">
            <v>Kharisma/Nanang</v>
          </cell>
          <cell r="D1578" t="str">
            <v>M. Fahrizal Fahmi</v>
          </cell>
          <cell r="E1578" t="str">
            <v>Dusun Barat Sawah, RT.005/RW.001, Kel. Rowosari, Kec. Sumberjambe</v>
          </cell>
          <cell r="F1578" t="str">
            <v>Jember</v>
          </cell>
          <cell r="G1578" t="str">
            <v>3509311904960001</v>
          </cell>
          <cell r="H1578" t="str">
            <v>000000000000000</v>
          </cell>
          <cell r="I1578" t="str">
            <v>Petani</v>
          </cell>
          <cell r="J1578">
            <v>59864799.999484301</v>
          </cell>
          <cell r="K1578">
            <v>0</v>
          </cell>
          <cell r="L1578">
            <v>59864799.999484301</v>
          </cell>
        </row>
        <row r="1579">
          <cell r="B1579" t="str">
            <v>KHAR02AC</v>
          </cell>
          <cell r="C1579" t="str">
            <v>Kharisma/Nanang</v>
          </cell>
          <cell r="D1579" t="str">
            <v>Muhammad Yusril Isa</v>
          </cell>
          <cell r="E1579" t="str">
            <v>Dusun Krajan, RT.006/RW.001, Kel. Cumedak, Kec. Sumberjambe</v>
          </cell>
          <cell r="F1579" t="str">
            <v>Jember</v>
          </cell>
          <cell r="G1579" t="str">
            <v>3509311703980002</v>
          </cell>
          <cell r="H1579" t="str">
            <v>000000000000000</v>
          </cell>
          <cell r="I1579" t="str">
            <v>Pelajar</v>
          </cell>
          <cell r="J1579">
            <v>31691599.999814205</v>
          </cell>
          <cell r="K1579">
            <v>0</v>
          </cell>
          <cell r="L1579">
            <v>31691599.999814205</v>
          </cell>
        </row>
        <row r="1580">
          <cell r="B1580" t="str">
            <v>PERT11AC</v>
          </cell>
          <cell r="C1580" t="str">
            <v>Pertanian Yuliana/Tumiran</v>
          </cell>
          <cell r="D1580" t="str">
            <v>Tumiran</v>
          </cell>
          <cell r="E1580" t="str">
            <v>Dusun Tubo RT.002/RW.001, Kel. Purwosekar, Kec. Tajinan</v>
          </cell>
          <cell r="F1580" t="str">
            <v>Malang</v>
          </cell>
          <cell r="G1580" t="str">
            <v>3507152207720001</v>
          </cell>
          <cell r="H1580" t="str">
            <v>000000000000000</v>
          </cell>
          <cell r="I1580" t="str">
            <v>Petani ( awalnya KTP komersil, jd KTP acak juga krn dr dl pakai ktp karyawannya ), kode awal PERT02 sdh dipakai u/ acak non KTP</v>
          </cell>
          <cell r="J1580">
            <v>12555999.999970999</v>
          </cell>
          <cell r="K1580">
            <v>0</v>
          </cell>
          <cell r="L1580">
            <v>12555999.999970999</v>
          </cell>
        </row>
        <row r="1581">
          <cell r="B1581" t="str">
            <v>PERT12AC</v>
          </cell>
          <cell r="C1581" t="str">
            <v>Pertanian Yuliana/Tumiran</v>
          </cell>
          <cell r="D1581" t="str">
            <v>Sudarmanto</v>
          </cell>
          <cell r="E1581" t="str">
            <v>Dusun Tubo, RT.014/RW.002, Kel. Purwosekar, Kec. Tajinan</v>
          </cell>
          <cell r="F1581" t="str">
            <v>Malang</v>
          </cell>
          <cell r="G1581" t="str">
            <v>3507150509810004</v>
          </cell>
          <cell r="H1581" t="str">
            <v>000000000000000</v>
          </cell>
          <cell r="I1581" t="str">
            <v>Wiraswasta ( Untuk Nota T Lunas Pakai KTP Acak Acc Reni 06/9/2025 Mesenger ) kode awal PERT01AC sdh dipakai u/ acak non KTP</v>
          </cell>
          <cell r="J1581">
            <v>21767999.999852721</v>
          </cell>
          <cell r="K1581">
            <v>0</v>
          </cell>
          <cell r="L1581">
            <v>21767999.999852721</v>
          </cell>
        </row>
        <row r="1582">
          <cell r="B1582" t="str">
            <v>PERT13AC</v>
          </cell>
          <cell r="C1582" t="str">
            <v>Pertanian Yuliana/Tumiran</v>
          </cell>
          <cell r="D1582" t="str">
            <v>Anang Yahya Mashuri</v>
          </cell>
          <cell r="E1582" t="str">
            <v>Dusun Tubo, RT.011/RW.002, Kel. Purwosekar, Kec. Tajinan</v>
          </cell>
          <cell r="F1582" t="str">
            <v>Malang</v>
          </cell>
          <cell r="G1582" t="str">
            <v>3507152208780001</v>
          </cell>
          <cell r="H1582" t="str">
            <v>000000000000000</v>
          </cell>
          <cell r="J1582">
            <v>7599999.9999520006</v>
          </cell>
          <cell r="K1582">
            <v>0</v>
          </cell>
          <cell r="L1582">
            <v>7599999.9999520006</v>
          </cell>
        </row>
        <row r="1583">
          <cell r="B1583" t="str">
            <v>HERR01AC</v>
          </cell>
          <cell r="C1583" t="str">
            <v>Herry Djuwarsa</v>
          </cell>
          <cell r="D1583" t="str">
            <v>A Ramin</v>
          </cell>
          <cell r="E1583" t="str">
            <v>Kp Lapang RT.001/RW.003 , Kel. Sariwangi Kec. Parongpong</v>
          </cell>
          <cell r="F1583" t="str">
            <v>Bandung Barat</v>
          </cell>
          <cell r="G1583" t="str">
            <v>3217022107670002</v>
          </cell>
          <cell r="H1583" t="str">
            <v>000000000000000</v>
          </cell>
          <cell r="J1583">
            <v>0</v>
          </cell>
          <cell r="K1583">
            <v>0</v>
          </cell>
          <cell r="L1583">
            <v>0</v>
          </cell>
        </row>
        <row r="1584">
          <cell r="B1584" t="str">
            <v>HERR02AC</v>
          </cell>
          <cell r="C1584" t="str">
            <v>Herry Djuwarsa</v>
          </cell>
          <cell r="D1584" t="str">
            <v>Agus</v>
          </cell>
          <cell r="E1584" t="str">
            <v>Kp Malati Hasim RT.002/RW.008 , Kel. Padasuka Kec. Pasirwangi</v>
          </cell>
          <cell r="F1584" t="str">
            <v>Garut</v>
          </cell>
          <cell r="G1584" t="str">
            <v>3205080903080001</v>
          </cell>
          <cell r="H1584" t="str">
            <v>000000000000000</v>
          </cell>
          <cell r="J1584">
            <v>0</v>
          </cell>
          <cell r="K1584">
            <v>0</v>
          </cell>
          <cell r="L1584">
            <v>0</v>
          </cell>
        </row>
        <row r="1585">
          <cell r="B1585" t="str">
            <v>HERR04AC</v>
          </cell>
          <cell r="C1585" t="str">
            <v>Herry Djuwarsa</v>
          </cell>
          <cell r="D1585" t="str">
            <v>Dani Darmawan</v>
          </cell>
          <cell r="E1585" t="str">
            <v>Jalan Gegerkalong Girang No. 99 RT.007/RW.003 , Kel. Gegerkalong Kec. Sukasari</v>
          </cell>
          <cell r="F1585" t="str">
            <v>Bandung</v>
          </cell>
          <cell r="G1585" t="str">
            <v>3273012311840005</v>
          </cell>
          <cell r="H1585" t="str">
            <v>000000000000000</v>
          </cell>
          <cell r="J1585">
            <v>0</v>
          </cell>
          <cell r="K1585">
            <v>0</v>
          </cell>
          <cell r="L1585">
            <v>0</v>
          </cell>
        </row>
        <row r="1586">
          <cell r="B1586" t="str">
            <v>HERR05AC</v>
          </cell>
          <cell r="C1586" t="str">
            <v>Herry Djuwarsa</v>
          </cell>
          <cell r="D1586" t="str">
            <v>Deden Muhamamd M</v>
          </cell>
          <cell r="E1586" t="str">
            <v>Jalan Pak Gatot II No. 21-G KPAD RT.003/RW.002 , Kel. Gegerkalong Kec. Sukasari</v>
          </cell>
          <cell r="F1586" t="str">
            <v>Bandung</v>
          </cell>
          <cell r="G1586" t="str">
            <v>3273010106650001</v>
          </cell>
          <cell r="H1586" t="str">
            <v>000000000000000</v>
          </cell>
          <cell r="J1586">
            <v>0</v>
          </cell>
          <cell r="K1586">
            <v>0</v>
          </cell>
          <cell r="L1586">
            <v>0</v>
          </cell>
        </row>
        <row r="1587">
          <cell r="B1587" t="str">
            <v>HERR06AC</v>
          </cell>
          <cell r="C1587" t="str">
            <v>Herry Djuwarsa</v>
          </cell>
          <cell r="D1587" t="str">
            <v>Desty Apriani</v>
          </cell>
          <cell r="E1587" t="str">
            <v>Kresnomulyo Selatan RT.001/RW.006 , Kel. Kresno Mulyo, Kec. Ambarawa</v>
          </cell>
          <cell r="F1587" t="str">
            <v>Pringsewu</v>
          </cell>
          <cell r="G1587" t="str">
            <v>1810036404860001</v>
          </cell>
          <cell r="H1587" t="str">
            <v>000000000000000</v>
          </cell>
          <cell r="J1587">
            <v>0</v>
          </cell>
          <cell r="K1587">
            <v>0</v>
          </cell>
          <cell r="L1587">
            <v>0</v>
          </cell>
        </row>
        <row r="1588">
          <cell r="B1588" t="str">
            <v>HERR08AC</v>
          </cell>
          <cell r="C1588" t="str">
            <v>Herry Djuwarsa</v>
          </cell>
          <cell r="D1588" t="str">
            <v>Jumadi. MS</v>
          </cell>
          <cell r="E1588" t="str">
            <v>Ambarawa RT.003/RW.001 , Kel. Ambarawa Kec. Ambarawa</v>
          </cell>
          <cell r="F1588" t="str">
            <v>Pringsewu</v>
          </cell>
          <cell r="G1588" t="str">
            <v>1810031904690001</v>
          </cell>
          <cell r="H1588" t="str">
            <v>000000000000000</v>
          </cell>
          <cell r="J1588">
            <v>0</v>
          </cell>
          <cell r="K1588">
            <v>0</v>
          </cell>
          <cell r="L1588">
            <v>0</v>
          </cell>
        </row>
        <row r="1589">
          <cell r="B1589" t="str">
            <v>HERR09AC</v>
          </cell>
          <cell r="C1589" t="str">
            <v>Herry Djuwarsa</v>
          </cell>
          <cell r="D1589" t="str">
            <v>Matoyah</v>
          </cell>
          <cell r="E1589" t="str">
            <v>Ambarawa III RT.005/RW.003 , Kel. Ambarawa Kec. Ambarawa</v>
          </cell>
          <cell r="F1589" t="str">
            <v>Pringsewu</v>
          </cell>
          <cell r="G1589" t="str">
            <v>1810034107680042</v>
          </cell>
          <cell r="H1589" t="str">
            <v>000000000000000</v>
          </cell>
          <cell r="J1589">
            <v>0</v>
          </cell>
          <cell r="K1589">
            <v>0</v>
          </cell>
          <cell r="L1589">
            <v>0</v>
          </cell>
        </row>
        <row r="1590">
          <cell r="B1590" t="str">
            <v>HERR10AC</v>
          </cell>
          <cell r="C1590" t="str">
            <v>Herry Djuwarsa</v>
          </cell>
          <cell r="D1590" t="str">
            <v>Rosmawati</v>
          </cell>
          <cell r="E1590" t="str">
            <v>Jalan Posksai LKIV RT.019/RW.004 , Kel. Hadimulyo Barat Kec. Metro Pusat</v>
          </cell>
          <cell r="F1590" t="str">
            <v>Metro</v>
          </cell>
          <cell r="G1590" t="str">
            <v>1872014311700002</v>
          </cell>
          <cell r="H1590" t="str">
            <v>000000000000000</v>
          </cell>
          <cell r="J1590">
            <v>0</v>
          </cell>
          <cell r="K1590">
            <v>0</v>
          </cell>
          <cell r="L1590">
            <v>0</v>
          </cell>
        </row>
        <row r="1591">
          <cell r="B1591" t="str">
            <v>HERR11AC</v>
          </cell>
          <cell r="C1591" t="str">
            <v>Herry Djuwarsa</v>
          </cell>
          <cell r="D1591" t="str">
            <v>Saimah</v>
          </cell>
          <cell r="E1591" t="str">
            <v>Ambarawa RT.003/RW.001 , Kel. Ambarawa Kec. Ambarawa</v>
          </cell>
          <cell r="F1591" t="str">
            <v>Pringsewu</v>
          </cell>
          <cell r="G1591" t="str">
            <v>1810035110640001</v>
          </cell>
          <cell r="H1591" t="str">
            <v>000000000000000</v>
          </cell>
          <cell r="J1591">
            <v>0</v>
          </cell>
          <cell r="K1591">
            <v>0</v>
          </cell>
          <cell r="L1591">
            <v>0</v>
          </cell>
        </row>
        <row r="1592">
          <cell r="B1592" t="str">
            <v>HERR12AC</v>
          </cell>
          <cell r="C1592" t="str">
            <v>Herry Djuwarsa</v>
          </cell>
          <cell r="D1592" t="str">
            <v>Sartimin</v>
          </cell>
          <cell r="E1592" t="str">
            <v>Lembur Panjang RT.001/RW.008 , Kel. Cihanjuang Kec. Parongpong</v>
          </cell>
          <cell r="F1592" t="str">
            <v>Bandung Barat</v>
          </cell>
          <cell r="G1592" t="str">
            <v>3217020408730009</v>
          </cell>
          <cell r="H1592" t="str">
            <v>000000000000000</v>
          </cell>
          <cell r="J1592">
            <v>0</v>
          </cell>
          <cell r="K1592">
            <v>0</v>
          </cell>
          <cell r="L1592">
            <v>0</v>
          </cell>
        </row>
        <row r="1593">
          <cell r="B1593" t="str">
            <v>HERR13AC</v>
          </cell>
          <cell r="C1593" t="str">
            <v>Herry Djuwarsa</v>
          </cell>
          <cell r="D1593" t="str">
            <v>A. Muhammad Raup</v>
          </cell>
          <cell r="E1593" t="str">
            <v>Jalan Kapten Abdul Hamid No. 42 A RT.001/RW.006 , Kel. Hegarmanah Kec. Cidadap</v>
          </cell>
          <cell r="F1593" t="str">
            <v>Bandung</v>
          </cell>
          <cell r="G1593" t="str">
            <v>3217020202830006</v>
          </cell>
          <cell r="H1593" t="str">
            <v>000000000000000</v>
          </cell>
          <cell r="J1593">
            <v>0</v>
          </cell>
          <cell r="K1593">
            <v>0</v>
          </cell>
          <cell r="L1593">
            <v>0</v>
          </cell>
        </row>
        <row r="1594">
          <cell r="B1594" t="str">
            <v>BTWD01AC</v>
          </cell>
          <cell r="C1594" t="str">
            <v>Barokah Tani/Widianto</v>
          </cell>
          <cell r="D1594" t="str">
            <v>Imam Sutikno</v>
          </cell>
          <cell r="E1594" t="str">
            <v>Jambangan RT.025/RW.004 , Kel. Jambangan Kec. Dampit</v>
          </cell>
          <cell r="F1594" t="str">
            <v>Malang</v>
          </cell>
          <cell r="G1594" t="str">
            <v>3507051801980005</v>
          </cell>
          <cell r="H1594" t="str">
            <v>000000000000000</v>
          </cell>
          <cell r="I1594" t="str">
            <v>T acak</v>
          </cell>
          <cell r="J1594">
            <v>73295999.998989433</v>
          </cell>
          <cell r="K1594">
            <v>0</v>
          </cell>
          <cell r="L1594">
            <v>73295999.998989433</v>
          </cell>
        </row>
        <row r="1595">
          <cell r="B1595" t="str">
            <v>DHIM01AC</v>
          </cell>
          <cell r="C1595" t="str">
            <v>Sumber Rejeki/Dhimas</v>
          </cell>
          <cell r="D1595" t="str">
            <v>Majdah Fakhiroh</v>
          </cell>
          <cell r="E1595" t="str">
            <v>Tlogosari RT.001/RW.001 , Kel. Tlogosari Kec. Tlogosari</v>
          </cell>
          <cell r="F1595" t="str">
            <v>Bondowoso</v>
          </cell>
          <cell r="G1595" t="str">
            <v>3511036703000002</v>
          </cell>
          <cell r="H1595" t="str">
            <v>000000000000000</v>
          </cell>
          <cell r="J1595">
            <v>0</v>
          </cell>
          <cell r="K1595">
            <v>0</v>
          </cell>
          <cell r="L1595">
            <v>0</v>
          </cell>
        </row>
        <row r="1596">
          <cell r="B1596" t="str">
            <v>SUCI01AC</v>
          </cell>
          <cell r="C1596" t="str">
            <v>Agro Suci/Bety</v>
          </cell>
          <cell r="D1596" t="str">
            <v>Mistarohati</v>
          </cell>
          <cell r="E1596" t="str">
            <v>Jalan Mahakan dusun karang anom RT.002 , RW.010 Kel. Serut Kec. Panti</v>
          </cell>
          <cell r="F1596" t="str">
            <v>Jember</v>
          </cell>
          <cell r="G1596" t="str">
            <v>3509146105760001</v>
          </cell>
          <cell r="H1596" t="str">
            <v>000000000000000</v>
          </cell>
          <cell r="J1596">
            <v>0</v>
          </cell>
          <cell r="K1596">
            <v>0</v>
          </cell>
          <cell r="L1596">
            <v>0</v>
          </cell>
        </row>
        <row r="1597">
          <cell r="B1597" t="str">
            <v>IBUT01AC</v>
          </cell>
          <cell r="C1597" t="str">
            <v>Ibu Tani II</v>
          </cell>
          <cell r="D1597" t="str">
            <v>Ahmat Basri</v>
          </cell>
          <cell r="E1597" t="str">
            <v>Dusun Krajan RT.012/RW.004 , Kel. Banyuanyar Lor Kec. Gending</v>
          </cell>
          <cell r="F1597" t="str">
            <v>Probolinggo</v>
          </cell>
          <cell r="G1597" t="str">
            <v>3513180107560023</v>
          </cell>
          <cell r="H1597" t="str">
            <v>000000000000000</v>
          </cell>
          <cell r="J1597">
            <v>19839999.999962404</v>
          </cell>
          <cell r="K1597">
            <v>0</v>
          </cell>
          <cell r="L1597">
            <v>19839999.999962404</v>
          </cell>
        </row>
        <row r="1598">
          <cell r="B1598" t="str">
            <v>IBUT02AC</v>
          </cell>
          <cell r="C1598" t="str">
            <v>Ibu Tani II</v>
          </cell>
          <cell r="D1598" t="str">
            <v>Ali Imron Effendi</v>
          </cell>
          <cell r="E1598" t="str">
            <v>Dusun Karanganyar RT.013/RW.004 , Kel. Clarak Kec. Leces</v>
          </cell>
          <cell r="F1598" t="str">
            <v>Probolinggo</v>
          </cell>
          <cell r="G1598" t="str">
            <v>3513052003620001</v>
          </cell>
          <cell r="H1598" t="str">
            <v>000000000000000</v>
          </cell>
          <cell r="J1598">
            <v>19839999.999962404</v>
          </cell>
          <cell r="K1598">
            <v>0</v>
          </cell>
          <cell r="L1598">
            <v>19839999.999962404</v>
          </cell>
        </row>
        <row r="1599">
          <cell r="B1599" t="str">
            <v>IBUT03AC</v>
          </cell>
          <cell r="C1599" t="str">
            <v>Ibu Tani II</v>
          </cell>
          <cell r="D1599" t="str">
            <v>Amirul Mu'minin</v>
          </cell>
          <cell r="E1599" t="str">
            <v>Gili Pasar RT.001/RW.010 , Kel. Jongoran Kec. Leces</v>
          </cell>
          <cell r="F1599" t="str">
            <v>Probolinggo</v>
          </cell>
          <cell r="G1599" t="str">
            <v>3513050107660189</v>
          </cell>
          <cell r="H1599" t="str">
            <v>000000000000000</v>
          </cell>
          <cell r="J1599">
            <v>19839999.999962404</v>
          </cell>
          <cell r="K1599">
            <v>0</v>
          </cell>
          <cell r="L1599">
            <v>19839999.999962404</v>
          </cell>
        </row>
        <row r="1600">
          <cell r="B1600" t="str">
            <v>IBUT04AC</v>
          </cell>
          <cell r="C1600" t="str">
            <v>Ibu Tani II</v>
          </cell>
          <cell r="D1600" t="str">
            <v>Andi Hermanto</v>
          </cell>
          <cell r="E1600" t="str">
            <v>Somor Kodung RT.012/RW.006 , Kel. Sumberrejo Kec. Tongas</v>
          </cell>
          <cell r="F1600" t="str">
            <v>Probolinggo</v>
          </cell>
          <cell r="G1600" t="str">
            <v>3513190505890003</v>
          </cell>
          <cell r="H1600" t="str">
            <v>000000000000000</v>
          </cell>
          <cell r="J1600">
            <v>19839999.999962404</v>
          </cell>
          <cell r="K1600">
            <v>0</v>
          </cell>
          <cell r="L1600">
            <v>19839999.999962404</v>
          </cell>
        </row>
        <row r="1601">
          <cell r="B1601" t="str">
            <v>IBUT05AC</v>
          </cell>
          <cell r="C1601" t="str">
            <v>Ibu Tani II</v>
          </cell>
          <cell r="D1601" t="str">
            <v>Buama</v>
          </cell>
          <cell r="E1601" t="str">
            <v>Dusun Bukolan RT.002/RW.004 , Kel. Tamansari Kec. Dringu</v>
          </cell>
          <cell r="F1601" t="str">
            <v>Probolinggo</v>
          </cell>
          <cell r="G1601" t="str">
            <v>3513196601800001</v>
          </cell>
          <cell r="H1601" t="str">
            <v>000000000000000</v>
          </cell>
          <cell r="J1601">
            <v>19839999.999962404</v>
          </cell>
          <cell r="K1601">
            <v>0</v>
          </cell>
          <cell r="L1601">
            <v>19839999.999962404</v>
          </cell>
        </row>
        <row r="1602">
          <cell r="B1602" t="str">
            <v>IBUT06AC</v>
          </cell>
          <cell r="C1602" t="str">
            <v>Ibu Tani II</v>
          </cell>
          <cell r="D1602" t="str">
            <v>Cahya Eka Prasetiya</v>
          </cell>
          <cell r="E1602" t="str">
            <v>Dusun Bajul RT.003/RW.001 , Kel. Tegalmojo Kec. Tegalsiwalan</v>
          </cell>
          <cell r="F1602" t="str">
            <v>Probolinggo</v>
          </cell>
          <cell r="G1602" t="str">
            <v>3513181208940002</v>
          </cell>
          <cell r="H1602" t="str">
            <v>000000000000000</v>
          </cell>
          <cell r="J1602">
            <v>19839999.999962404</v>
          </cell>
          <cell r="K1602">
            <v>0</v>
          </cell>
          <cell r="L1602">
            <v>19839999.999962404</v>
          </cell>
        </row>
        <row r="1603">
          <cell r="B1603" t="str">
            <v>IBUT07AC</v>
          </cell>
          <cell r="C1603" t="str">
            <v>Ibu Tani II</v>
          </cell>
          <cell r="D1603" t="str">
            <v>Deefryan Okafianto</v>
          </cell>
          <cell r="E1603" t="str">
            <v>Dusun Pasar RT.002/RW.001 , Kel. Banyuanyar Lor Kec. Gending</v>
          </cell>
          <cell r="F1603" t="str">
            <v>Probolinggo</v>
          </cell>
          <cell r="G1603" t="str">
            <v>3513120610020002</v>
          </cell>
          <cell r="H1603" t="str">
            <v>000000000000000</v>
          </cell>
          <cell r="J1603">
            <v>19839999.999962404</v>
          </cell>
          <cell r="K1603">
            <v>0</v>
          </cell>
          <cell r="L1603">
            <v>19839999.999962404</v>
          </cell>
        </row>
        <row r="1604">
          <cell r="B1604" t="str">
            <v>IBUT08AC</v>
          </cell>
          <cell r="C1604" t="str">
            <v>Ibu Tani II</v>
          </cell>
          <cell r="D1604" t="str">
            <v>Misna</v>
          </cell>
          <cell r="E1604" t="str">
            <v>Dusun Landaur RT.002/Rw.001 , Kel. Karangpranti Kec. Pejarakan</v>
          </cell>
          <cell r="F1604" t="str">
            <v>Probolinggo</v>
          </cell>
          <cell r="G1604" t="str">
            <v>3513164107740136</v>
          </cell>
          <cell r="H1604" t="str">
            <v>000000000000000</v>
          </cell>
          <cell r="J1604">
            <v>19839999.999962404</v>
          </cell>
          <cell r="K1604">
            <v>0</v>
          </cell>
          <cell r="L1604">
            <v>19839999.999962404</v>
          </cell>
        </row>
        <row r="1605">
          <cell r="B1605" t="str">
            <v>IBUT09AC</v>
          </cell>
          <cell r="C1605" t="str">
            <v>Ibu Tani II</v>
          </cell>
          <cell r="D1605" t="str">
            <v>Moh Urip Ilhami</v>
          </cell>
          <cell r="E1605" t="str">
            <v>Dusun Krajan RT.012/RW.004 , Kel. Banyuanyar Lor Kec. Gending</v>
          </cell>
          <cell r="F1605" t="str">
            <v>Probolinggo</v>
          </cell>
          <cell r="G1605" t="str">
            <v>3513182410020002</v>
          </cell>
          <cell r="H1605" t="str">
            <v>000000000000000</v>
          </cell>
          <cell r="J1605">
            <v>19839999.999962404</v>
          </cell>
          <cell r="K1605">
            <v>0</v>
          </cell>
          <cell r="L1605">
            <v>19839999.999962404</v>
          </cell>
        </row>
        <row r="1606">
          <cell r="B1606" t="str">
            <v>IBUT10AC</v>
          </cell>
          <cell r="C1606" t="str">
            <v>Ibu Tani II</v>
          </cell>
          <cell r="D1606" t="str">
            <v>Nor Cahyo Hadi Kusumo</v>
          </cell>
          <cell r="E1606" t="str">
            <v>Dusun Bajul RT.003/RW.001 , Kel. Tegalmojo Kec. Tegalsiwalan</v>
          </cell>
          <cell r="F1606" t="str">
            <v>Probolinggo</v>
          </cell>
          <cell r="G1606" t="str">
            <v>3513202503030001</v>
          </cell>
          <cell r="H1606" t="str">
            <v>000000000000000</v>
          </cell>
          <cell r="J1606">
            <v>19839999.999962404</v>
          </cell>
          <cell r="K1606">
            <v>0</v>
          </cell>
          <cell r="L1606">
            <v>19839999.999962404</v>
          </cell>
        </row>
        <row r="1607">
          <cell r="B1607" t="str">
            <v>IBUT11AC</v>
          </cell>
          <cell r="C1607" t="str">
            <v>Ibu Tani II</v>
          </cell>
          <cell r="J1607">
            <v>0</v>
          </cell>
          <cell r="K1607">
            <v>0</v>
          </cell>
          <cell r="L1607">
            <v>0</v>
          </cell>
        </row>
        <row r="1608">
          <cell r="B1608" t="str">
            <v>IBUT12AC</v>
          </cell>
          <cell r="C1608" t="str">
            <v>Ibu Tani II</v>
          </cell>
          <cell r="J1608">
            <v>0</v>
          </cell>
          <cell r="K1608">
            <v>0</v>
          </cell>
          <cell r="L1608">
            <v>0</v>
          </cell>
        </row>
        <row r="1609">
          <cell r="B1609" t="str">
            <v>IBUT13AC</v>
          </cell>
          <cell r="C1609" t="str">
            <v>Ibu Tani II</v>
          </cell>
          <cell r="J1609">
            <v>0</v>
          </cell>
          <cell r="K1609">
            <v>0</v>
          </cell>
          <cell r="L1609">
            <v>0</v>
          </cell>
        </row>
        <row r="1610">
          <cell r="B1610" t="str">
            <v>IBUT14AC</v>
          </cell>
          <cell r="C1610" t="str">
            <v>Ibu Tani II</v>
          </cell>
          <cell r="J1610">
            <v>0</v>
          </cell>
          <cell r="K1610">
            <v>0</v>
          </cell>
          <cell r="L1610">
            <v>0</v>
          </cell>
        </row>
        <row r="1611">
          <cell r="B1611" t="str">
            <v>DIUD01AC</v>
          </cell>
          <cell r="C1611" t="str">
            <v>Diana, UD</v>
          </cell>
          <cell r="D1611" t="str">
            <v>Miftachur Rohman</v>
          </cell>
          <cell r="E1611" t="str">
            <v>Kamp. Yasa Mulya RT.014/RW.003 , Kel. Yasa Mulya Kec.Tanah Miring</v>
          </cell>
          <cell r="F1611" t="str">
            <v>Merauke</v>
          </cell>
          <cell r="G1611" t="str">
            <v>9101011812900002</v>
          </cell>
          <cell r="H1611" t="str">
            <v>000000000000000</v>
          </cell>
          <cell r="I1611" t="str">
            <v>nota Acak hanya bulan Juli 2026 aja</v>
          </cell>
          <cell r="J1611">
            <v>68348719.99982971</v>
          </cell>
          <cell r="K1611">
            <v>0</v>
          </cell>
          <cell r="L1611">
            <v>68348719.99982971</v>
          </cell>
        </row>
        <row r="1612">
          <cell r="B1612" t="str">
            <v>AGRO01AC</v>
          </cell>
          <cell r="C1612" t="str">
            <v>Agro Makmur Sentosa</v>
          </cell>
          <cell r="D1612" t="str">
            <v>Dwi Ratnawati</v>
          </cell>
          <cell r="E1612" t="str">
            <v>Banaran RT.018/RW.003 , Kel. Kerik Kec. Takeran</v>
          </cell>
          <cell r="F1612" t="str">
            <v>Magetan</v>
          </cell>
          <cell r="G1612" t="str">
            <v>3520047107740001</v>
          </cell>
          <cell r="H1612" t="str">
            <v>000000000000000</v>
          </cell>
          <cell r="J1612">
            <v>29619999.999351002</v>
          </cell>
          <cell r="K1612">
            <v>0</v>
          </cell>
          <cell r="L1612">
            <v>29619999.999351002</v>
          </cell>
        </row>
        <row r="1613">
          <cell r="B1613" t="str">
            <v>AGRO02AC</v>
          </cell>
          <cell r="C1613" t="str">
            <v>Agro Makmur Sentosa</v>
          </cell>
          <cell r="D1613" t="str">
            <v>Eko Wahyu Wulandari</v>
          </cell>
          <cell r="E1613" t="str">
            <v>Dusun Sumbelmulyo RT.002/RW.001 , Kel. Jomblang Kec. Takeran</v>
          </cell>
          <cell r="F1613" t="str">
            <v>Magetan</v>
          </cell>
          <cell r="G1613" t="str">
            <v>3520044301720001</v>
          </cell>
          <cell r="H1613" t="str">
            <v>000000000000000</v>
          </cell>
          <cell r="J1613">
            <v>25295999.999923602</v>
          </cell>
          <cell r="K1613">
            <v>0</v>
          </cell>
          <cell r="L1613">
            <v>25295999.999923602</v>
          </cell>
        </row>
        <row r="1614">
          <cell r="B1614" t="str">
            <v>AGRO03AC</v>
          </cell>
          <cell r="C1614" t="str">
            <v>Agro Makmur Sentosa</v>
          </cell>
          <cell r="D1614" t="str">
            <v>Faradilla Charizma Putri</v>
          </cell>
          <cell r="E1614" t="str">
            <v>Banaran RT.018/RW.003 , Kel. Kerik Kec. Takeran</v>
          </cell>
          <cell r="F1614" t="str">
            <v>Magetan</v>
          </cell>
          <cell r="G1614" t="str">
            <v>3520044106040002</v>
          </cell>
          <cell r="H1614" t="str">
            <v>000000000000000</v>
          </cell>
          <cell r="J1614">
            <v>32031999.999381006</v>
          </cell>
          <cell r="K1614">
            <v>0</v>
          </cell>
          <cell r="L1614">
            <v>32031999.999381006</v>
          </cell>
        </row>
        <row r="1615">
          <cell r="B1615" t="str">
            <v>AGRO04AC</v>
          </cell>
          <cell r="C1615" t="str">
            <v>Agro Makmur Sentosa</v>
          </cell>
          <cell r="D1615" t="str">
            <v>Hanifian Ahmad Musyaffa</v>
          </cell>
          <cell r="E1615" t="str">
            <v>Banaran RT.018/RW.003 , Kel. Kerik Kec. Takeran</v>
          </cell>
          <cell r="F1615" t="str">
            <v>Magetan</v>
          </cell>
          <cell r="G1615" t="str">
            <v>3520042312000001</v>
          </cell>
          <cell r="H1615" t="str">
            <v>000000000000000</v>
          </cell>
          <cell r="J1615">
            <v>19919999.999394</v>
          </cell>
          <cell r="K1615">
            <v>0</v>
          </cell>
          <cell r="L1615">
            <v>19919999.999394</v>
          </cell>
        </row>
        <row r="1616">
          <cell r="B1616" t="str">
            <v>AGRO05AC</v>
          </cell>
          <cell r="C1616" t="str">
            <v>Agro Makmur Sentosa</v>
          </cell>
          <cell r="D1616" t="str">
            <v>Heru Sucahyo</v>
          </cell>
          <cell r="E1616" t="str">
            <v>Banaran RT.018/RW.003 , Kel. Kerik Kec. Takeran</v>
          </cell>
          <cell r="F1616" t="str">
            <v>Magetan</v>
          </cell>
          <cell r="G1616" t="str">
            <v>3520041510730002</v>
          </cell>
          <cell r="H1616" t="str">
            <v>000000000000000</v>
          </cell>
          <cell r="J1616">
            <v>23519999.999490306</v>
          </cell>
          <cell r="K1616">
            <v>0</v>
          </cell>
          <cell r="L1616">
            <v>23519999.999490306</v>
          </cell>
        </row>
        <row r="1617">
          <cell r="B1617" t="str">
            <v>AGRO06AC</v>
          </cell>
          <cell r="C1617" t="str">
            <v>Agro Makmur Sentosa</v>
          </cell>
          <cell r="D1617" t="str">
            <v>Ninik Darwati</v>
          </cell>
          <cell r="E1617" t="str">
            <v>Dusun Banar RT.005/RW.006 , Kel. Deryangan Kec. Mertoyudan</v>
          </cell>
          <cell r="F1617" t="str">
            <v>Magelang</v>
          </cell>
          <cell r="G1617" t="str">
            <v>3308105808700001</v>
          </cell>
          <cell r="H1617" t="str">
            <v>000000000000000</v>
          </cell>
          <cell r="J1617">
            <v>11499999.999600003</v>
          </cell>
          <cell r="K1617">
            <v>0</v>
          </cell>
          <cell r="L1617">
            <v>11499999.999600003</v>
          </cell>
        </row>
        <row r="1618">
          <cell r="B1618" t="str">
            <v>AGRO07AC</v>
          </cell>
          <cell r="C1618" t="str">
            <v>Agro Makmur Sentosa</v>
          </cell>
          <cell r="D1618" t="str">
            <v>Octaviona Zea Putri Lathifa</v>
          </cell>
          <cell r="E1618" t="str">
            <v>Banaran RT.018/RW.003 , Kel. Kerik Kec. Takeran</v>
          </cell>
          <cell r="F1618" t="str">
            <v>Magetan</v>
          </cell>
          <cell r="G1618" t="str">
            <v>3520046710080001</v>
          </cell>
          <cell r="H1618" t="str">
            <v>000000000000000</v>
          </cell>
          <cell r="J1618">
            <v>15523999.99935</v>
          </cell>
          <cell r="K1618">
            <v>0</v>
          </cell>
          <cell r="L1618">
            <v>15523999.99935</v>
          </cell>
        </row>
        <row r="1619">
          <cell r="B1619" t="str">
            <v>AGRO08AC</v>
          </cell>
          <cell r="C1619" t="str">
            <v>Agro Makmur Sentosa</v>
          </cell>
          <cell r="D1619" t="str">
            <v>Srijati</v>
          </cell>
          <cell r="E1619" t="str">
            <v>Banaran RT.018/RW.003 , Kel. Kerik Kec. Takeran</v>
          </cell>
          <cell r="F1619" t="str">
            <v>Magetan</v>
          </cell>
          <cell r="G1619" t="str">
            <v>3520045103500001</v>
          </cell>
          <cell r="H1619" t="str">
            <v>000000000000000</v>
          </cell>
          <cell r="J1619">
            <v>13343999.999887202</v>
          </cell>
          <cell r="K1619">
            <v>0</v>
          </cell>
          <cell r="L1619">
            <v>13343999.999887202</v>
          </cell>
        </row>
        <row r="1620">
          <cell r="B1620" t="str">
            <v>SHTH01AC</v>
          </cell>
          <cell r="C1620" t="str">
            <v>Sahabat Tani/Harianto</v>
          </cell>
          <cell r="D1620" t="str">
            <v>Sapriadi</v>
          </cell>
          <cell r="E1620" t="str">
            <v>Semalang RT.000/RW.000 , Kel. Dasan Baru Kec. Kopang</v>
          </cell>
          <cell r="F1620" t="str">
            <v>Lombok Tengah</v>
          </cell>
          <cell r="G1620" t="str">
            <v>5202092503890001</v>
          </cell>
          <cell r="H1620" t="str">
            <v>000000000000000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BA68-7946-40B5-A400-9DB575C72C2A}">
  <dimension ref="A1:AN66"/>
  <sheetViews>
    <sheetView tabSelected="1" topLeftCell="H1" zoomScale="115" zoomScaleNormal="115" workbookViewId="0">
      <selection activeCell="AD11" sqref="AD11"/>
    </sheetView>
  </sheetViews>
  <sheetFormatPr defaultRowHeight="13.2" x14ac:dyDescent="0.3"/>
  <cols>
    <col min="1" max="1" width="9.28515625" bestFit="1" customWidth="1"/>
    <col min="2" max="2" width="11.140625" bestFit="1" customWidth="1"/>
    <col min="7" max="7" width="24" bestFit="1" customWidth="1"/>
    <col min="8" max="8" width="24.140625" bestFit="1" customWidth="1"/>
    <col min="9" max="13" width="9.28515625" bestFit="1" customWidth="1"/>
    <col min="15" max="16" width="9.28515625" bestFit="1" customWidth="1"/>
    <col min="17" max="17" width="19.7109375" hidden="1" customWidth="1"/>
    <col min="18" max="19" width="12.42578125" hidden="1" customWidth="1"/>
    <col min="20" max="20" width="9.28515625" hidden="1" customWidth="1"/>
    <col min="21" max="21" width="15.28515625" bestFit="1" customWidth="1"/>
    <col min="22" max="22" width="15.28515625" hidden="1" customWidth="1"/>
    <col min="23" max="23" width="10.42578125" hidden="1" customWidth="1"/>
    <col min="24" max="24" width="14.140625" bestFit="1" customWidth="1"/>
    <col min="25" max="26" width="15.28515625" bestFit="1" customWidth="1"/>
    <col min="27" max="27" width="15.28515625" hidden="1" customWidth="1"/>
    <col min="257" max="257" width="9.28515625" bestFit="1" customWidth="1"/>
    <col min="258" max="258" width="11.140625" bestFit="1" customWidth="1"/>
    <col min="263" max="263" width="24" bestFit="1" customWidth="1"/>
    <col min="264" max="264" width="24.140625" bestFit="1" customWidth="1"/>
    <col min="265" max="269" width="9.28515625" bestFit="1" customWidth="1"/>
    <col min="271" max="272" width="9.28515625" bestFit="1" customWidth="1"/>
    <col min="273" max="276" width="0" hidden="1" customWidth="1"/>
    <col min="277" max="277" width="15.28515625" bestFit="1" customWidth="1"/>
    <col min="278" max="279" width="0" hidden="1" customWidth="1"/>
    <col min="280" max="280" width="14.140625" bestFit="1" customWidth="1"/>
    <col min="281" max="282" width="15.28515625" bestFit="1" customWidth="1"/>
    <col min="283" max="283" width="0" hidden="1" customWidth="1"/>
    <col min="513" max="513" width="9.28515625" bestFit="1" customWidth="1"/>
    <col min="514" max="514" width="11.140625" bestFit="1" customWidth="1"/>
    <col min="519" max="519" width="24" bestFit="1" customWidth="1"/>
    <col min="520" max="520" width="24.140625" bestFit="1" customWidth="1"/>
    <col min="521" max="525" width="9.28515625" bestFit="1" customWidth="1"/>
    <col min="527" max="528" width="9.28515625" bestFit="1" customWidth="1"/>
    <col min="529" max="532" width="0" hidden="1" customWidth="1"/>
    <col min="533" max="533" width="15.28515625" bestFit="1" customWidth="1"/>
    <col min="534" max="535" width="0" hidden="1" customWidth="1"/>
    <col min="536" max="536" width="14.140625" bestFit="1" customWidth="1"/>
    <col min="537" max="538" width="15.28515625" bestFit="1" customWidth="1"/>
    <col min="539" max="539" width="0" hidden="1" customWidth="1"/>
    <col min="769" max="769" width="9.28515625" bestFit="1" customWidth="1"/>
    <col min="770" max="770" width="11.140625" bestFit="1" customWidth="1"/>
    <col min="775" max="775" width="24" bestFit="1" customWidth="1"/>
    <col min="776" max="776" width="24.140625" bestFit="1" customWidth="1"/>
    <col min="777" max="781" width="9.28515625" bestFit="1" customWidth="1"/>
    <col min="783" max="784" width="9.28515625" bestFit="1" customWidth="1"/>
    <col min="785" max="788" width="0" hidden="1" customWidth="1"/>
    <col min="789" max="789" width="15.28515625" bestFit="1" customWidth="1"/>
    <col min="790" max="791" width="0" hidden="1" customWidth="1"/>
    <col min="792" max="792" width="14.140625" bestFit="1" customWidth="1"/>
    <col min="793" max="794" width="15.28515625" bestFit="1" customWidth="1"/>
    <col min="795" max="795" width="0" hidden="1" customWidth="1"/>
    <col min="1025" max="1025" width="9.28515625" bestFit="1" customWidth="1"/>
    <col min="1026" max="1026" width="11.140625" bestFit="1" customWidth="1"/>
    <col min="1031" max="1031" width="24" bestFit="1" customWidth="1"/>
    <col min="1032" max="1032" width="24.140625" bestFit="1" customWidth="1"/>
    <col min="1033" max="1037" width="9.28515625" bestFit="1" customWidth="1"/>
    <col min="1039" max="1040" width="9.28515625" bestFit="1" customWidth="1"/>
    <col min="1041" max="1044" width="0" hidden="1" customWidth="1"/>
    <col min="1045" max="1045" width="15.28515625" bestFit="1" customWidth="1"/>
    <col min="1046" max="1047" width="0" hidden="1" customWidth="1"/>
    <col min="1048" max="1048" width="14.140625" bestFit="1" customWidth="1"/>
    <col min="1049" max="1050" width="15.28515625" bestFit="1" customWidth="1"/>
    <col min="1051" max="1051" width="0" hidden="1" customWidth="1"/>
    <col min="1281" max="1281" width="9.28515625" bestFit="1" customWidth="1"/>
    <col min="1282" max="1282" width="11.140625" bestFit="1" customWidth="1"/>
    <col min="1287" max="1287" width="24" bestFit="1" customWidth="1"/>
    <col min="1288" max="1288" width="24.140625" bestFit="1" customWidth="1"/>
    <col min="1289" max="1293" width="9.28515625" bestFit="1" customWidth="1"/>
    <col min="1295" max="1296" width="9.28515625" bestFit="1" customWidth="1"/>
    <col min="1297" max="1300" width="0" hidden="1" customWidth="1"/>
    <col min="1301" max="1301" width="15.28515625" bestFit="1" customWidth="1"/>
    <col min="1302" max="1303" width="0" hidden="1" customWidth="1"/>
    <col min="1304" max="1304" width="14.140625" bestFit="1" customWidth="1"/>
    <col min="1305" max="1306" width="15.28515625" bestFit="1" customWidth="1"/>
    <col min="1307" max="1307" width="0" hidden="1" customWidth="1"/>
    <col min="1537" max="1537" width="9.28515625" bestFit="1" customWidth="1"/>
    <col min="1538" max="1538" width="11.140625" bestFit="1" customWidth="1"/>
    <col min="1543" max="1543" width="24" bestFit="1" customWidth="1"/>
    <col min="1544" max="1544" width="24.140625" bestFit="1" customWidth="1"/>
    <col min="1545" max="1549" width="9.28515625" bestFit="1" customWidth="1"/>
    <col min="1551" max="1552" width="9.28515625" bestFit="1" customWidth="1"/>
    <col min="1553" max="1556" width="0" hidden="1" customWidth="1"/>
    <col min="1557" max="1557" width="15.28515625" bestFit="1" customWidth="1"/>
    <col min="1558" max="1559" width="0" hidden="1" customWidth="1"/>
    <col min="1560" max="1560" width="14.140625" bestFit="1" customWidth="1"/>
    <col min="1561" max="1562" width="15.28515625" bestFit="1" customWidth="1"/>
    <col min="1563" max="1563" width="0" hidden="1" customWidth="1"/>
    <col min="1793" max="1793" width="9.28515625" bestFit="1" customWidth="1"/>
    <col min="1794" max="1794" width="11.140625" bestFit="1" customWidth="1"/>
    <col min="1799" max="1799" width="24" bestFit="1" customWidth="1"/>
    <col min="1800" max="1800" width="24.140625" bestFit="1" customWidth="1"/>
    <col min="1801" max="1805" width="9.28515625" bestFit="1" customWidth="1"/>
    <col min="1807" max="1808" width="9.28515625" bestFit="1" customWidth="1"/>
    <col min="1809" max="1812" width="0" hidden="1" customWidth="1"/>
    <col min="1813" max="1813" width="15.28515625" bestFit="1" customWidth="1"/>
    <col min="1814" max="1815" width="0" hidden="1" customWidth="1"/>
    <col min="1816" max="1816" width="14.140625" bestFit="1" customWidth="1"/>
    <col min="1817" max="1818" width="15.28515625" bestFit="1" customWidth="1"/>
    <col min="1819" max="1819" width="0" hidden="1" customWidth="1"/>
    <col min="2049" max="2049" width="9.28515625" bestFit="1" customWidth="1"/>
    <col min="2050" max="2050" width="11.140625" bestFit="1" customWidth="1"/>
    <col min="2055" max="2055" width="24" bestFit="1" customWidth="1"/>
    <col min="2056" max="2056" width="24.140625" bestFit="1" customWidth="1"/>
    <col min="2057" max="2061" width="9.28515625" bestFit="1" customWidth="1"/>
    <col min="2063" max="2064" width="9.28515625" bestFit="1" customWidth="1"/>
    <col min="2065" max="2068" width="0" hidden="1" customWidth="1"/>
    <col min="2069" max="2069" width="15.28515625" bestFit="1" customWidth="1"/>
    <col min="2070" max="2071" width="0" hidden="1" customWidth="1"/>
    <col min="2072" max="2072" width="14.140625" bestFit="1" customWidth="1"/>
    <col min="2073" max="2074" width="15.28515625" bestFit="1" customWidth="1"/>
    <col min="2075" max="2075" width="0" hidden="1" customWidth="1"/>
    <col min="2305" max="2305" width="9.28515625" bestFit="1" customWidth="1"/>
    <col min="2306" max="2306" width="11.140625" bestFit="1" customWidth="1"/>
    <col min="2311" max="2311" width="24" bestFit="1" customWidth="1"/>
    <col min="2312" max="2312" width="24.140625" bestFit="1" customWidth="1"/>
    <col min="2313" max="2317" width="9.28515625" bestFit="1" customWidth="1"/>
    <col min="2319" max="2320" width="9.28515625" bestFit="1" customWidth="1"/>
    <col min="2321" max="2324" width="0" hidden="1" customWidth="1"/>
    <col min="2325" max="2325" width="15.28515625" bestFit="1" customWidth="1"/>
    <col min="2326" max="2327" width="0" hidden="1" customWidth="1"/>
    <col min="2328" max="2328" width="14.140625" bestFit="1" customWidth="1"/>
    <col min="2329" max="2330" width="15.28515625" bestFit="1" customWidth="1"/>
    <col min="2331" max="2331" width="0" hidden="1" customWidth="1"/>
    <col min="2561" max="2561" width="9.28515625" bestFit="1" customWidth="1"/>
    <col min="2562" max="2562" width="11.140625" bestFit="1" customWidth="1"/>
    <col min="2567" max="2567" width="24" bestFit="1" customWidth="1"/>
    <col min="2568" max="2568" width="24.140625" bestFit="1" customWidth="1"/>
    <col min="2569" max="2573" width="9.28515625" bestFit="1" customWidth="1"/>
    <col min="2575" max="2576" width="9.28515625" bestFit="1" customWidth="1"/>
    <col min="2577" max="2580" width="0" hidden="1" customWidth="1"/>
    <col min="2581" max="2581" width="15.28515625" bestFit="1" customWidth="1"/>
    <col min="2582" max="2583" width="0" hidden="1" customWidth="1"/>
    <col min="2584" max="2584" width="14.140625" bestFit="1" customWidth="1"/>
    <col min="2585" max="2586" width="15.28515625" bestFit="1" customWidth="1"/>
    <col min="2587" max="2587" width="0" hidden="1" customWidth="1"/>
    <col min="2817" max="2817" width="9.28515625" bestFit="1" customWidth="1"/>
    <col min="2818" max="2818" width="11.140625" bestFit="1" customWidth="1"/>
    <col min="2823" max="2823" width="24" bestFit="1" customWidth="1"/>
    <col min="2824" max="2824" width="24.140625" bestFit="1" customWidth="1"/>
    <col min="2825" max="2829" width="9.28515625" bestFit="1" customWidth="1"/>
    <col min="2831" max="2832" width="9.28515625" bestFit="1" customWidth="1"/>
    <col min="2833" max="2836" width="0" hidden="1" customWidth="1"/>
    <col min="2837" max="2837" width="15.28515625" bestFit="1" customWidth="1"/>
    <col min="2838" max="2839" width="0" hidden="1" customWidth="1"/>
    <col min="2840" max="2840" width="14.140625" bestFit="1" customWidth="1"/>
    <col min="2841" max="2842" width="15.28515625" bestFit="1" customWidth="1"/>
    <col min="2843" max="2843" width="0" hidden="1" customWidth="1"/>
    <col min="3073" max="3073" width="9.28515625" bestFit="1" customWidth="1"/>
    <col min="3074" max="3074" width="11.140625" bestFit="1" customWidth="1"/>
    <col min="3079" max="3079" width="24" bestFit="1" customWidth="1"/>
    <col min="3080" max="3080" width="24.140625" bestFit="1" customWidth="1"/>
    <col min="3081" max="3085" width="9.28515625" bestFit="1" customWidth="1"/>
    <col min="3087" max="3088" width="9.28515625" bestFit="1" customWidth="1"/>
    <col min="3089" max="3092" width="0" hidden="1" customWidth="1"/>
    <col min="3093" max="3093" width="15.28515625" bestFit="1" customWidth="1"/>
    <col min="3094" max="3095" width="0" hidden="1" customWidth="1"/>
    <col min="3096" max="3096" width="14.140625" bestFit="1" customWidth="1"/>
    <col min="3097" max="3098" width="15.28515625" bestFit="1" customWidth="1"/>
    <col min="3099" max="3099" width="0" hidden="1" customWidth="1"/>
    <col min="3329" max="3329" width="9.28515625" bestFit="1" customWidth="1"/>
    <col min="3330" max="3330" width="11.140625" bestFit="1" customWidth="1"/>
    <col min="3335" max="3335" width="24" bestFit="1" customWidth="1"/>
    <col min="3336" max="3336" width="24.140625" bestFit="1" customWidth="1"/>
    <col min="3337" max="3341" width="9.28515625" bestFit="1" customWidth="1"/>
    <col min="3343" max="3344" width="9.28515625" bestFit="1" customWidth="1"/>
    <col min="3345" max="3348" width="0" hidden="1" customWidth="1"/>
    <col min="3349" max="3349" width="15.28515625" bestFit="1" customWidth="1"/>
    <col min="3350" max="3351" width="0" hidden="1" customWidth="1"/>
    <col min="3352" max="3352" width="14.140625" bestFit="1" customWidth="1"/>
    <col min="3353" max="3354" width="15.28515625" bestFit="1" customWidth="1"/>
    <col min="3355" max="3355" width="0" hidden="1" customWidth="1"/>
    <col min="3585" max="3585" width="9.28515625" bestFit="1" customWidth="1"/>
    <col min="3586" max="3586" width="11.140625" bestFit="1" customWidth="1"/>
    <col min="3591" max="3591" width="24" bestFit="1" customWidth="1"/>
    <col min="3592" max="3592" width="24.140625" bestFit="1" customWidth="1"/>
    <col min="3593" max="3597" width="9.28515625" bestFit="1" customWidth="1"/>
    <col min="3599" max="3600" width="9.28515625" bestFit="1" customWidth="1"/>
    <col min="3601" max="3604" width="0" hidden="1" customWidth="1"/>
    <col min="3605" max="3605" width="15.28515625" bestFit="1" customWidth="1"/>
    <col min="3606" max="3607" width="0" hidden="1" customWidth="1"/>
    <col min="3608" max="3608" width="14.140625" bestFit="1" customWidth="1"/>
    <col min="3609" max="3610" width="15.28515625" bestFit="1" customWidth="1"/>
    <col min="3611" max="3611" width="0" hidden="1" customWidth="1"/>
    <col min="3841" max="3841" width="9.28515625" bestFit="1" customWidth="1"/>
    <col min="3842" max="3842" width="11.140625" bestFit="1" customWidth="1"/>
    <col min="3847" max="3847" width="24" bestFit="1" customWidth="1"/>
    <col min="3848" max="3848" width="24.140625" bestFit="1" customWidth="1"/>
    <col min="3849" max="3853" width="9.28515625" bestFit="1" customWidth="1"/>
    <col min="3855" max="3856" width="9.28515625" bestFit="1" customWidth="1"/>
    <col min="3857" max="3860" width="0" hidden="1" customWidth="1"/>
    <col min="3861" max="3861" width="15.28515625" bestFit="1" customWidth="1"/>
    <col min="3862" max="3863" width="0" hidden="1" customWidth="1"/>
    <col min="3864" max="3864" width="14.140625" bestFit="1" customWidth="1"/>
    <col min="3865" max="3866" width="15.28515625" bestFit="1" customWidth="1"/>
    <col min="3867" max="3867" width="0" hidden="1" customWidth="1"/>
    <col min="4097" max="4097" width="9.28515625" bestFit="1" customWidth="1"/>
    <col min="4098" max="4098" width="11.140625" bestFit="1" customWidth="1"/>
    <col min="4103" max="4103" width="24" bestFit="1" customWidth="1"/>
    <col min="4104" max="4104" width="24.140625" bestFit="1" customWidth="1"/>
    <col min="4105" max="4109" width="9.28515625" bestFit="1" customWidth="1"/>
    <col min="4111" max="4112" width="9.28515625" bestFit="1" customWidth="1"/>
    <col min="4113" max="4116" width="0" hidden="1" customWidth="1"/>
    <col min="4117" max="4117" width="15.28515625" bestFit="1" customWidth="1"/>
    <col min="4118" max="4119" width="0" hidden="1" customWidth="1"/>
    <col min="4120" max="4120" width="14.140625" bestFit="1" customWidth="1"/>
    <col min="4121" max="4122" width="15.28515625" bestFit="1" customWidth="1"/>
    <col min="4123" max="4123" width="0" hidden="1" customWidth="1"/>
    <col min="4353" max="4353" width="9.28515625" bestFit="1" customWidth="1"/>
    <col min="4354" max="4354" width="11.140625" bestFit="1" customWidth="1"/>
    <col min="4359" max="4359" width="24" bestFit="1" customWidth="1"/>
    <col min="4360" max="4360" width="24.140625" bestFit="1" customWidth="1"/>
    <col min="4361" max="4365" width="9.28515625" bestFit="1" customWidth="1"/>
    <col min="4367" max="4368" width="9.28515625" bestFit="1" customWidth="1"/>
    <col min="4369" max="4372" width="0" hidden="1" customWidth="1"/>
    <col min="4373" max="4373" width="15.28515625" bestFit="1" customWidth="1"/>
    <col min="4374" max="4375" width="0" hidden="1" customWidth="1"/>
    <col min="4376" max="4376" width="14.140625" bestFit="1" customWidth="1"/>
    <col min="4377" max="4378" width="15.28515625" bestFit="1" customWidth="1"/>
    <col min="4379" max="4379" width="0" hidden="1" customWidth="1"/>
    <col min="4609" max="4609" width="9.28515625" bestFit="1" customWidth="1"/>
    <col min="4610" max="4610" width="11.140625" bestFit="1" customWidth="1"/>
    <col min="4615" max="4615" width="24" bestFit="1" customWidth="1"/>
    <col min="4616" max="4616" width="24.140625" bestFit="1" customWidth="1"/>
    <col min="4617" max="4621" width="9.28515625" bestFit="1" customWidth="1"/>
    <col min="4623" max="4624" width="9.28515625" bestFit="1" customWidth="1"/>
    <col min="4625" max="4628" width="0" hidden="1" customWidth="1"/>
    <col min="4629" max="4629" width="15.28515625" bestFit="1" customWidth="1"/>
    <col min="4630" max="4631" width="0" hidden="1" customWidth="1"/>
    <col min="4632" max="4632" width="14.140625" bestFit="1" customWidth="1"/>
    <col min="4633" max="4634" width="15.28515625" bestFit="1" customWidth="1"/>
    <col min="4635" max="4635" width="0" hidden="1" customWidth="1"/>
    <col min="4865" max="4865" width="9.28515625" bestFit="1" customWidth="1"/>
    <col min="4866" max="4866" width="11.140625" bestFit="1" customWidth="1"/>
    <col min="4871" max="4871" width="24" bestFit="1" customWidth="1"/>
    <col min="4872" max="4872" width="24.140625" bestFit="1" customWidth="1"/>
    <col min="4873" max="4877" width="9.28515625" bestFit="1" customWidth="1"/>
    <col min="4879" max="4880" width="9.28515625" bestFit="1" customWidth="1"/>
    <col min="4881" max="4884" width="0" hidden="1" customWidth="1"/>
    <col min="4885" max="4885" width="15.28515625" bestFit="1" customWidth="1"/>
    <col min="4886" max="4887" width="0" hidden="1" customWidth="1"/>
    <col min="4888" max="4888" width="14.140625" bestFit="1" customWidth="1"/>
    <col min="4889" max="4890" width="15.28515625" bestFit="1" customWidth="1"/>
    <col min="4891" max="4891" width="0" hidden="1" customWidth="1"/>
    <col min="5121" max="5121" width="9.28515625" bestFit="1" customWidth="1"/>
    <col min="5122" max="5122" width="11.140625" bestFit="1" customWidth="1"/>
    <col min="5127" max="5127" width="24" bestFit="1" customWidth="1"/>
    <col min="5128" max="5128" width="24.140625" bestFit="1" customWidth="1"/>
    <col min="5129" max="5133" width="9.28515625" bestFit="1" customWidth="1"/>
    <col min="5135" max="5136" width="9.28515625" bestFit="1" customWidth="1"/>
    <col min="5137" max="5140" width="0" hidden="1" customWidth="1"/>
    <col min="5141" max="5141" width="15.28515625" bestFit="1" customWidth="1"/>
    <col min="5142" max="5143" width="0" hidden="1" customWidth="1"/>
    <col min="5144" max="5144" width="14.140625" bestFit="1" customWidth="1"/>
    <col min="5145" max="5146" width="15.28515625" bestFit="1" customWidth="1"/>
    <col min="5147" max="5147" width="0" hidden="1" customWidth="1"/>
    <col min="5377" max="5377" width="9.28515625" bestFit="1" customWidth="1"/>
    <col min="5378" max="5378" width="11.140625" bestFit="1" customWidth="1"/>
    <col min="5383" max="5383" width="24" bestFit="1" customWidth="1"/>
    <col min="5384" max="5384" width="24.140625" bestFit="1" customWidth="1"/>
    <col min="5385" max="5389" width="9.28515625" bestFit="1" customWidth="1"/>
    <col min="5391" max="5392" width="9.28515625" bestFit="1" customWidth="1"/>
    <col min="5393" max="5396" width="0" hidden="1" customWidth="1"/>
    <col min="5397" max="5397" width="15.28515625" bestFit="1" customWidth="1"/>
    <col min="5398" max="5399" width="0" hidden="1" customWidth="1"/>
    <col min="5400" max="5400" width="14.140625" bestFit="1" customWidth="1"/>
    <col min="5401" max="5402" width="15.28515625" bestFit="1" customWidth="1"/>
    <col min="5403" max="5403" width="0" hidden="1" customWidth="1"/>
    <col min="5633" max="5633" width="9.28515625" bestFit="1" customWidth="1"/>
    <col min="5634" max="5634" width="11.140625" bestFit="1" customWidth="1"/>
    <col min="5639" max="5639" width="24" bestFit="1" customWidth="1"/>
    <col min="5640" max="5640" width="24.140625" bestFit="1" customWidth="1"/>
    <col min="5641" max="5645" width="9.28515625" bestFit="1" customWidth="1"/>
    <col min="5647" max="5648" width="9.28515625" bestFit="1" customWidth="1"/>
    <col min="5649" max="5652" width="0" hidden="1" customWidth="1"/>
    <col min="5653" max="5653" width="15.28515625" bestFit="1" customWidth="1"/>
    <col min="5654" max="5655" width="0" hidden="1" customWidth="1"/>
    <col min="5656" max="5656" width="14.140625" bestFit="1" customWidth="1"/>
    <col min="5657" max="5658" width="15.28515625" bestFit="1" customWidth="1"/>
    <col min="5659" max="5659" width="0" hidden="1" customWidth="1"/>
    <col min="5889" max="5889" width="9.28515625" bestFit="1" customWidth="1"/>
    <col min="5890" max="5890" width="11.140625" bestFit="1" customWidth="1"/>
    <col min="5895" max="5895" width="24" bestFit="1" customWidth="1"/>
    <col min="5896" max="5896" width="24.140625" bestFit="1" customWidth="1"/>
    <col min="5897" max="5901" width="9.28515625" bestFit="1" customWidth="1"/>
    <col min="5903" max="5904" width="9.28515625" bestFit="1" customWidth="1"/>
    <col min="5905" max="5908" width="0" hidden="1" customWidth="1"/>
    <col min="5909" max="5909" width="15.28515625" bestFit="1" customWidth="1"/>
    <col min="5910" max="5911" width="0" hidden="1" customWidth="1"/>
    <col min="5912" max="5912" width="14.140625" bestFit="1" customWidth="1"/>
    <col min="5913" max="5914" width="15.28515625" bestFit="1" customWidth="1"/>
    <col min="5915" max="5915" width="0" hidden="1" customWidth="1"/>
    <col min="6145" max="6145" width="9.28515625" bestFit="1" customWidth="1"/>
    <col min="6146" max="6146" width="11.140625" bestFit="1" customWidth="1"/>
    <col min="6151" max="6151" width="24" bestFit="1" customWidth="1"/>
    <col min="6152" max="6152" width="24.140625" bestFit="1" customWidth="1"/>
    <col min="6153" max="6157" width="9.28515625" bestFit="1" customWidth="1"/>
    <col min="6159" max="6160" width="9.28515625" bestFit="1" customWidth="1"/>
    <col min="6161" max="6164" width="0" hidden="1" customWidth="1"/>
    <col min="6165" max="6165" width="15.28515625" bestFit="1" customWidth="1"/>
    <col min="6166" max="6167" width="0" hidden="1" customWidth="1"/>
    <col min="6168" max="6168" width="14.140625" bestFit="1" customWidth="1"/>
    <col min="6169" max="6170" width="15.28515625" bestFit="1" customWidth="1"/>
    <col min="6171" max="6171" width="0" hidden="1" customWidth="1"/>
    <col min="6401" max="6401" width="9.28515625" bestFit="1" customWidth="1"/>
    <col min="6402" max="6402" width="11.140625" bestFit="1" customWidth="1"/>
    <col min="6407" max="6407" width="24" bestFit="1" customWidth="1"/>
    <col min="6408" max="6408" width="24.140625" bestFit="1" customWidth="1"/>
    <col min="6409" max="6413" width="9.28515625" bestFit="1" customWidth="1"/>
    <col min="6415" max="6416" width="9.28515625" bestFit="1" customWidth="1"/>
    <col min="6417" max="6420" width="0" hidden="1" customWidth="1"/>
    <col min="6421" max="6421" width="15.28515625" bestFit="1" customWidth="1"/>
    <col min="6422" max="6423" width="0" hidden="1" customWidth="1"/>
    <col min="6424" max="6424" width="14.140625" bestFit="1" customWidth="1"/>
    <col min="6425" max="6426" width="15.28515625" bestFit="1" customWidth="1"/>
    <col min="6427" max="6427" width="0" hidden="1" customWidth="1"/>
    <col min="6657" max="6657" width="9.28515625" bestFit="1" customWidth="1"/>
    <col min="6658" max="6658" width="11.140625" bestFit="1" customWidth="1"/>
    <col min="6663" max="6663" width="24" bestFit="1" customWidth="1"/>
    <col min="6664" max="6664" width="24.140625" bestFit="1" customWidth="1"/>
    <col min="6665" max="6669" width="9.28515625" bestFit="1" customWidth="1"/>
    <col min="6671" max="6672" width="9.28515625" bestFit="1" customWidth="1"/>
    <col min="6673" max="6676" width="0" hidden="1" customWidth="1"/>
    <col min="6677" max="6677" width="15.28515625" bestFit="1" customWidth="1"/>
    <col min="6678" max="6679" width="0" hidden="1" customWidth="1"/>
    <col min="6680" max="6680" width="14.140625" bestFit="1" customWidth="1"/>
    <col min="6681" max="6682" width="15.28515625" bestFit="1" customWidth="1"/>
    <col min="6683" max="6683" width="0" hidden="1" customWidth="1"/>
    <col min="6913" max="6913" width="9.28515625" bestFit="1" customWidth="1"/>
    <col min="6914" max="6914" width="11.140625" bestFit="1" customWidth="1"/>
    <col min="6919" max="6919" width="24" bestFit="1" customWidth="1"/>
    <col min="6920" max="6920" width="24.140625" bestFit="1" customWidth="1"/>
    <col min="6921" max="6925" width="9.28515625" bestFit="1" customWidth="1"/>
    <col min="6927" max="6928" width="9.28515625" bestFit="1" customWidth="1"/>
    <col min="6929" max="6932" width="0" hidden="1" customWidth="1"/>
    <col min="6933" max="6933" width="15.28515625" bestFit="1" customWidth="1"/>
    <col min="6934" max="6935" width="0" hidden="1" customWidth="1"/>
    <col min="6936" max="6936" width="14.140625" bestFit="1" customWidth="1"/>
    <col min="6937" max="6938" width="15.28515625" bestFit="1" customWidth="1"/>
    <col min="6939" max="6939" width="0" hidden="1" customWidth="1"/>
    <col min="7169" max="7169" width="9.28515625" bestFit="1" customWidth="1"/>
    <col min="7170" max="7170" width="11.140625" bestFit="1" customWidth="1"/>
    <col min="7175" max="7175" width="24" bestFit="1" customWidth="1"/>
    <col min="7176" max="7176" width="24.140625" bestFit="1" customWidth="1"/>
    <col min="7177" max="7181" width="9.28515625" bestFit="1" customWidth="1"/>
    <col min="7183" max="7184" width="9.28515625" bestFit="1" customWidth="1"/>
    <col min="7185" max="7188" width="0" hidden="1" customWidth="1"/>
    <col min="7189" max="7189" width="15.28515625" bestFit="1" customWidth="1"/>
    <col min="7190" max="7191" width="0" hidden="1" customWidth="1"/>
    <col min="7192" max="7192" width="14.140625" bestFit="1" customWidth="1"/>
    <col min="7193" max="7194" width="15.28515625" bestFit="1" customWidth="1"/>
    <col min="7195" max="7195" width="0" hidden="1" customWidth="1"/>
    <col min="7425" max="7425" width="9.28515625" bestFit="1" customWidth="1"/>
    <col min="7426" max="7426" width="11.140625" bestFit="1" customWidth="1"/>
    <col min="7431" max="7431" width="24" bestFit="1" customWidth="1"/>
    <col min="7432" max="7432" width="24.140625" bestFit="1" customWidth="1"/>
    <col min="7433" max="7437" width="9.28515625" bestFit="1" customWidth="1"/>
    <col min="7439" max="7440" width="9.28515625" bestFit="1" customWidth="1"/>
    <col min="7441" max="7444" width="0" hidden="1" customWidth="1"/>
    <col min="7445" max="7445" width="15.28515625" bestFit="1" customWidth="1"/>
    <col min="7446" max="7447" width="0" hidden="1" customWidth="1"/>
    <col min="7448" max="7448" width="14.140625" bestFit="1" customWidth="1"/>
    <col min="7449" max="7450" width="15.28515625" bestFit="1" customWidth="1"/>
    <col min="7451" max="7451" width="0" hidden="1" customWidth="1"/>
    <col min="7681" max="7681" width="9.28515625" bestFit="1" customWidth="1"/>
    <col min="7682" max="7682" width="11.140625" bestFit="1" customWidth="1"/>
    <col min="7687" max="7687" width="24" bestFit="1" customWidth="1"/>
    <col min="7688" max="7688" width="24.140625" bestFit="1" customWidth="1"/>
    <col min="7689" max="7693" width="9.28515625" bestFit="1" customWidth="1"/>
    <col min="7695" max="7696" width="9.28515625" bestFit="1" customWidth="1"/>
    <col min="7697" max="7700" width="0" hidden="1" customWidth="1"/>
    <col min="7701" max="7701" width="15.28515625" bestFit="1" customWidth="1"/>
    <col min="7702" max="7703" width="0" hidden="1" customWidth="1"/>
    <col min="7704" max="7704" width="14.140625" bestFit="1" customWidth="1"/>
    <col min="7705" max="7706" width="15.28515625" bestFit="1" customWidth="1"/>
    <col min="7707" max="7707" width="0" hidden="1" customWidth="1"/>
    <col min="7937" max="7937" width="9.28515625" bestFit="1" customWidth="1"/>
    <col min="7938" max="7938" width="11.140625" bestFit="1" customWidth="1"/>
    <col min="7943" max="7943" width="24" bestFit="1" customWidth="1"/>
    <col min="7944" max="7944" width="24.140625" bestFit="1" customWidth="1"/>
    <col min="7945" max="7949" width="9.28515625" bestFit="1" customWidth="1"/>
    <col min="7951" max="7952" width="9.28515625" bestFit="1" customWidth="1"/>
    <col min="7953" max="7956" width="0" hidden="1" customWidth="1"/>
    <col min="7957" max="7957" width="15.28515625" bestFit="1" customWidth="1"/>
    <col min="7958" max="7959" width="0" hidden="1" customWidth="1"/>
    <col min="7960" max="7960" width="14.140625" bestFit="1" customWidth="1"/>
    <col min="7961" max="7962" width="15.28515625" bestFit="1" customWidth="1"/>
    <col min="7963" max="7963" width="0" hidden="1" customWidth="1"/>
    <col min="8193" max="8193" width="9.28515625" bestFit="1" customWidth="1"/>
    <col min="8194" max="8194" width="11.140625" bestFit="1" customWidth="1"/>
    <col min="8199" max="8199" width="24" bestFit="1" customWidth="1"/>
    <col min="8200" max="8200" width="24.140625" bestFit="1" customWidth="1"/>
    <col min="8201" max="8205" width="9.28515625" bestFit="1" customWidth="1"/>
    <col min="8207" max="8208" width="9.28515625" bestFit="1" customWidth="1"/>
    <col min="8209" max="8212" width="0" hidden="1" customWidth="1"/>
    <col min="8213" max="8213" width="15.28515625" bestFit="1" customWidth="1"/>
    <col min="8214" max="8215" width="0" hidden="1" customWidth="1"/>
    <col min="8216" max="8216" width="14.140625" bestFit="1" customWidth="1"/>
    <col min="8217" max="8218" width="15.28515625" bestFit="1" customWidth="1"/>
    <col min="8219" max="8219" width="0" hidden="1" customWidth="1"/>
    <col min="8449" max="8449" width="9.28515625" bestFit="1" customWidth="1"/>
    <col min="8450" max="8450" width="11.140625" bestFit="1" customWidth="1"/>
    <col min="8455" max="8455" width="24" bestFit="1" customWidth="1"/>
    <col min="8456" max="8456" width="24.140625" bestFit="1" customWidth="1"/>
    <col min="8457" max="8461" width="9.28515625" bestFit="1" customWidth="1"/>
    <col min="8463" max="8464" width="9.28515625" bestFit="1" customWidth="1"/>
    <col min="8465" max="8468" width="0" hidden="1" customWidth="1"/>
    <col min="8469" max="8469" width="15.28515625" bestFit="1" customWidth="1"/>
    <col min="8470" max="8471" width="0" hidden="1" customWidth="1"/>
    <col min="8472" max="8472" width="14.140625" bestFit="1" customWidth="1"/>
    <col min="8473" max="8474" width="15.28515625" bestFit="1" customWidth="1"/>
    <col min="8475" max="8475" width="0" hidden="1" customWidth="1"/>
    <col min="8705" max="8705" width="9.28515625" bestFit="1" customWidth="1"/>
    <col min="8706" max="8706" width="11.140625" bestFit="1" customWidth="1"/>
    <col min="8711" max="8711" width="24" bestFit="1" customWidth="1"/>
    <col min="8712" max="8712" width="24.140625" bestFit="1" customWidth="1"/>
    <col min="8713" max="8717" width="9.28515625" bestFit="1" customWidth="1"/>
    <col min="8719" max="8720" width="9.28515625" bestFit="1" customWidth="1"/>
    <col min="8721" max="8724" width="0" hidden="1" customWidth="1"/>
    <col min="8725" max="8725" width="15.28515625" bestFit="1" customWidth="1"/>
    <col min="8726" max="8727" width="0" hidden="1" customWidth="1"/>
    <col min="8728" max="8728" width="14.140625" bestFit="1" customWidth="1"/>
    <col min="8729" max="8730" width="15.28515625" bestFit="1" customWidth="1"/>
    <col min="8731" max="8731" width="0" hidden="1" customWidth="1"/>
    <col min="8961" max="8961" width="9.28515625" bestFit="1" customWidth="1"/>
    <col min="8962" max="8962" width="11.140625" bestFit="1" customWidth="1"/>
    <col min="8967" max="8967" width="24" bestFit="1" customWidth="1"/>
    <col min="8968" max="8968" width="24.140625" bestFit="1" customWidth="1"/>
    <col min="8969" max="8973" width="9.28515625" bestFit="1" customWidth="1"/>
    <col min="8975" max="8976" width="9.28515625" bestFit="1" customWidth="1"/>
    <col min="8977" max="8980" width="0" hidden="1" customWidth="1"/>
    <col min="8981" max="8981" width="15.28515625" bestFit="1" customWidth="1"/>
    <col min="8982" max="8983" width="0" hidden="1" customWidth="1"/>
    <col min="8984" max="8984" width="14.140625" bestFit="1" customWidth="1"/>
    <col min="8985" max="8986" width="15.28515625" bestFit="1" customWidth="1"/>
    <col min="8987" max="8987" width="0" hidden="1" customWidth="1"/>
    <col min="9217" max="9217" width="9.28515625" bestFit="1" customWidth="1"/>
    <col min="9218" max="9218" width="11.140625" bestFit="1" customWidth="1"/>
    <col min="9223" max="9223" width="24" bestFit="1" customWidth="1"/>
    <col min="9224" max="9224" width="24.140625" bestFit="1" customWidth="1"/>
    <col min="9225" max="9229" width="9.28515625" bestFit="1" customWidth="1"/>
    <col min="9231" max="9232" width="9.28515625" bestFit="1" customWidth="1"/>
    <col min="9233" max="9236" width="0" hidden="1" customWidth="1"/>
    <col min="9237" max="9237" width="15.28515625" bestFit="1" customWidth="1"/>
    <col min="9238" max="9239" width="0" hidden="1" customWidth="1"/>
    <col min="9240" max="9240" width="14.140625" bestFit="1" customWidth="1"/>
    <col min="9241" max="9242" width="15.28515625" bestFit="1" customWidth="1"/>
    <col min="9243" max="9243" width="0" hidden="1" customWidth="1"/>
    <col min="9473" max="9473" width="9.28515625" bestFit="1" customWidth="1"/>
    <col min="9474" max="9474" width="11.140625" bestFit="1" customWidth="1"/>
    <col min="9479" max="9479" width="24" bestFit="1" customWidth="1"/>
    <col min="9480" max="9480" width="24.140625" bestFit="1" customWidth="1"/>
    <col min="9481" max="9485" width="9.28515625" bestFit="1" customWidth="1"/>
    <col min="9487" max="9488" width="9.28515625" bestFit="1" customWidth="1"/>
    <col min="9489" max="9492" width="0" hidden="1" customWidth="1"/>
    <col min="9493" max="9493" width="15.28515625" bestFit="1" customWidth="1"/>
    <col min="9494" max="9495" width="0" hidden="1" customWidth="1"/>
    <col min="9496" max="9496" width="14.140625" bestFit="1" customWidth="1"/>
    <col min="9497" max="9498" width="15.28515625" bestFit="1" customWidth="1"/>
    <col min="9499" max="9499" width="0" hidden="1" customWidth="1"/>
    <col min="9729" max="9729" width="9.28515625" bestFit="1" customWidth="1"/>
    <col min="9730" max="9730" width="11.140625" bestFit="1" customWidth="1"/>
    <col min="9735" max="9735" width="24" bestFit="1" customWidth="1"/>
    <col min="9736" max="9736" width="24.140625" bestFit="1" customWidth="1"/>
    <col min="9737" max="9741" width="9.28515625" bestFit="1" customWidth="1"/>
    <col min="9743" max="9744" width="9.28515625" bestFit="1" customWidth="1"/>
    <col min="9745" max="9748" width="0" hidden="1" customWidth="1"/>
    <col min="9749" max="9749" width="15.28515625" bestFit="1" customWidth="1"/>
    <col min="9750" max="9751" width="0" hidden="1" customWidth="1"/>
    <col min="9752" max="9752" width="14.140625" bestFit="1" customWidth="1"/>
    <col min="9753" max="9754" width="15.28515625" bestFit="1" customWidth="1"/>
    <col min="9755" max="9755" width="0" hidden="1" customWidth="1"/>
    <col min="9985" max="9985" width="9.28515625" bestFit="1" customWidth="1"/>
    <col min="9986" max="9986" width="11.140625" bestFit="1" customWidth="1"/>
    <col min="9991" max="9991" width="24" bestFit="1" customWidth="1"/>
    <col min="9992" max="9992" width="24.140625" bestFit="1" customWidth="1"/>
    <col min="9993" max="9997" width="9.28515625" bestFit="1" customWidth="1"/>
    <col min="9999" max="10000" width="9.28515625" bestFit="1" customWidth="1"/>
    <col min="10001" max="10004" width="0" hidden="1" customWidth="1"/>
    <col min="10005" max="10005" width="15.28515625" bestFit="1" customWidth="1"/>
    <col min="10006" max="10007" width="0" hidden="1" customWidth="1"/>
    <col min="10008" max="10008" width="14.140625" bestFit="1" customWidth="1"/>
    <col min="10009" max="10010" width="15.28515625" bestFit="1" customWidth="1"/>
    <col min="10011" max="10011" width="0" hidden="1" customWidth="1"/>
    <col min="10241" max="10241" width="9.28515625" bestFit="1" customWidth="1"/>
    <col min="10242" max="10242" width="11.140625" bestFit="1" customWidth="1"/>
    <col min="10247" max="10247" width="24" bestFit="1" customWidth="1"/>
    <col min="10248" max="10248" width="24.140625" bestFit="1" customWidth="1"/>
    <col min="10249" max="10253" width="9.28515625" bestFit="1" customWidth="1"/>
    <col min="10255" max="10256" width="9.28515625" bestFit="1" customWidth="1"/>
    <col min="10257" max="10260" width="0" hidden="1" customWidth="1"/>
    <col min="10261" max="10261" width="15.28515625" bestFit="1" customWidth="1"/>
    <col min="10262" max="10263" width="0" hidden="1" customWidth="1"/>
    <col min="10264" max="10264" width="14.140625" bestFit="1" customWidth="1"/>
    <col min="10265" max="10266" width="15.28515625" bestFit="1" customWidth="1"/>
    <col min="10267" max="10267" width="0" hidden="1" customWidth="1"/>
    <col min="10497" max="10497" width="9.28515625" bestFit="1" customWidth="1"/>
    <col min="10498" max="10498" width="11.140625" bestFit="1" customWidth="1"/>
    <col min="10503" max="10503" width="24" bestFit="1" customWidth="1"/>
    <col min="10504" max="10504" width="24.140625" bestFit="1" customWidth="1"/>
    <col min="10505" max="10509" width="9.28515625" bestFit="1" customWidth="1"/>
    <col min="10511" max="10512" width="9.28515625" bestFit="1" customWidth="1"/>
    <col min="10513" max="10516" width="0" hidden="1" customWidth="1"/>
    <col min="10517" max="10517" width="15.28515625" bestFit="1" customWidth="1"/>
    <col min="10518" max="10519" width="0" hidden="1" customWidth="1"/>
    <col min="10520" max="10520" width="14.140625" bestFit="1" customWidth="1"/>
    <col min="10521" max="10522" width="15.28515625" bestFit="1" customWidth="1"/>
    <col min="10523" max="10523" width="0" hidden="1" customWidth="1"/>
    <col min="10753" max="10753" width="9.28515625" bestFit="1" customWidth="1"/>
    <col min="10754" max="10754" width="11.140625" bestFit="1" customWidth="1"/>
    <col min="10759" max="10759" width="24" bestFit="1" customWidth="1"/>
    <col min="10760" max="10760" width="24.140625" bestFit="1" customWidth="1"/>
    <col min="10761" max="10765" width="9.28515625" bestFit="1" customWidth="1"/>
    <col min="10767" max="10768" width="9.28515625" bestFit="1" customWidth="1"/>
    <col min="10769" max="10772" width="0" hidden="1" customWidth="1"/>
    <col min="10773" max="10773" width="15.28515625" bestFit="1" customWidth="1"/>
    <col min="10774" max="10775" width="0" hidden="1" customWidth="1"/>
    <col min="10776" max="10776" width="14.140625" bestFit="1" customWidth="1"/>
    <col min="10777" max="10778" width="15.28515625" bestFit="1" customWidth="1"/>
    <col min="10779" max="10779" width="0" hidden="1" customWidth="1"/>
    <col min="11009" max="11009" width="9.28515625" bestFit="1" customWidth="1"/>
    <col min="11010" max="11010" width="11.140625" bestFit="1" customWidth="1"/>
    <col min="11015" max="11015" width="24" bestFit="1" customWidth="1"/>
    <col min="11016" max="11016" width="24.140625" bestFit="1" customWidth="1"/>
    <col min="11017" max="11021" width="9.28515625" bestFit="1" customWidth="1"/>
    <col min="11023" max="11024" width="9.28515625" bestFit="1" customWidth="1"/>
    <col min="11025" max="11028" width="0" hidden="1" customWidth="1"/>
    <col min="11029" max="11029" width="15.28515625" bestFit="1" customWidth="1"/>
    <col min="11030" max="11031" width="0" hidden="1" customWidth="1"/>
    <col min="11032" max="11032" width="14.140625" bestFit="1" customWidth="1"/>
    <col min="11033" max="11034" width="15.28515625" bestFit="1" customWidth="1"/>
    <col min="11035" max="11035" width="0" hidden="1" customWidth="1"/>
    <col min="11265" max="11265" width="9.28515625" bestFit="1" customWidth="1"/>
    <col min="11266" max="11266" width="11.140625" bestFit="1" customWidth="1"/>
    <col min="11271" max="11271" width="24" bestFit="1" customWidth="1"/>
    <col min="11272" max="11272" width="24.140625" bestFit="1" customWidth="1"/>
    <col min="11273" max="11277" width="9.28515625" bestFit="1" customWidth="1"/>
    <col min="11279" max="11280" width="9.28515625" bestFit="1" customWidth="1"/>
    <col min="11281" max="11284" width="0" hidden="1" customWidth="1"/>
    <col min="11285" max="11285" width="15.28515625" bestFit="1" customWidth="1"/>
    <col min="11286" max="11287" width="0" hidden="1" customWidth="1"/>
    <col min="11288" max="11288" width="14.140625" bestFit="1" customWidth="1"/>
    <col min="11289" max="11290" width="15.28515625" bestFit="1" customWidth="1"/>
    <col min="11291" max="11291" width="0" hidden="1" customWidth="1"/>
    <col min="11521" max="11521" width="9.28515625" bestFit="1" customWidth="1"/>
    <col min="11522" max="11522" width="11.140625" bestFit="1" customWidth="1"/>
    <col min="11527" max="11527" width="24" bestFit="1" customWidth="1"/>
    <col min="11528" max="11528" width="24.140625" bestFit="1" customWidth="1"/>
    <col min="11529" max="11533" width="9.28515625" bestFit="1" customWidth="1"/>
    <col min="11535" max="11536" width="9.28515625" bestFit="1" customWidth="1"/>
    <col min="11537" max="11540" width="0" hidden="1" customWidth="1"/>
    <col min="11541" max="11541" width="15.28515625" bestFit="1" customWidth="1"/>
    <col min="11542" max="11543" width="0" hidden="1" customWidth="1"/>
    <col min="11544" max="11544" width="14.140625" bestFit="1" customWidth="1"/>
    <col min="11545" max="11546" width="15.28515625" bestFit="1" customWidth="1"/>
    <col min="11547" max="11547" width="0" hidden="1" customWidth="1"/>
    <col min="11777" max="11777" width="9.28515625" bestFit="1" customWidth="1"/>
    <col min="11778" max="11778" width="11.140625" bestFit="1" customWidth="1"/>
    <col min="11783" max="11783" width="24" bestFit="1" customWidth="1"/>
    <col min="11784" max="11784" width="24.140625" bestFit="1" customWidth="1"/>
    <col min="11785" max="11789" width="9.28515625" bestFit="1" customWidth="1"/>
    <col min="11791" max="11792" width="9.28515625" bestFit="1" customWidth="1"/>
    <col min="11793" max="11796" width="0" hidden="1" customWidth="1"/>
    <col min="11797" max="11797" width="15.28515625" bestFit="1" customWidth="1"/>
    <col min="11798" max="11799" width="0" hidden="1" customWidth="1"/>
    <col min="11800" max="11800" width="14.140625" bestFit="1" customWidth="1"/>
    <col min="11801" max="11802" width="15.28515625" bestFit="1" customWidth="1"/>
    <col min="11803" max="11803" width="0" hidden="1" customWidth="1"/>
    <col min="12033" max="12033" width="9.28515625" bestFit="1" customWidth="1"/>
    <col min="12034" max="12034" width="11.140625" bestFit="1" customWidth="1"/>
    <col min="12039" max="12039" width="24" bestFit="1" customWidth="1"/>
    <col min="12040" max="12040" width="24.140625" bestFit="1" customWidth="1"/>
    <col min="12041" max="12045" width="9.28515625" bestFit="1" customWidth="1"/>
    <col min="12047" max="12048" width="9.28515625" bestFit="1" customWidth="1"/>
    <col min="12049" max="12052" width="0" hidden="1" customWidth="1"/>
    <col min="12053" max="12053" width="15.28515625" bestFit="1" customWidth="1"/>
    <col min="12054" max="12055" width="0" hidden="1" customWidth="1"/>
    <col min="12056" max="12056" width="14.140625" bestFit="1" customWidth="1"/>
    <col min="12057" max="12058" width="15.28515625" bestFit="1" customWidth="1"/>
    <col min="12059" max="12059" width="0" hidden="1" customWidth="1"/>
    <col min="12289" max="12289" width="9.28515625" bestFit="1" customWidth="1"/>
    <col min="12290" max="12290" width="11.140625" bestFit="1" customWidth="1"/>
    <col min="12295" max="12295" width="24" bestFit="1" customWidth="1"/>
    <col min="12296" max="12296" width="24.140625" bestFit="1" customWidth="1"/>
    <col min="12297" max="12301" width="9.28515625" bestFit="1" customWidth="1"/>
    <col min="12303" max="12304" width="9.28515625" bestFit="1" customWidth="1"/>
    <col min="12305" max="12308" width="0" hidden="1" customWidth="1"/>
    <col min="12309" max="12309" width="15.28515625" bestFit="1" customWidth="1"/>
    <col min="12310" max="12311" width="0" hidden="1" customWidth="1"/>
    <col min="12312" max="12312" width="14.140625" bestFit="1" customWidth="1"/>
    <col min="12313" max="12314" width="15.28515625" bestFit="1" customWidth="1"/>
    <col min="12315" max="12315" width="0" hidden="1" customWidth="1"/>
    <col min="12545" max="12545" width="9.28515625" bestFit="1" customWidth="1"/>
    <col min="12546" max="12546" width="11.140625" bestFit="1" customWidth="1"/>
    <col min="12551" max="12551" width="24" bestFit="1" customWidth="1"/>
    <col min="12552" max="12552" width="24.140625" bestFit="1" customWidth="1"/>
    <col min="12553" max="12557" width="9.28515625" bestFit="1" customWidth="1"/>
    <col min="12559" max="12560" width="9.28515625" bestFit="1" customWidth="1"/>
    <col min="12561" max="12564" width="0" hidden="1" customWidth="1"/>
    <col min="12565" max="12565" width="15.28515625" bestFit="1" customWidth="1"/>
    <col min="12566" max="12567" width="0" hidden="1" customWidth="1"/>
    <col min="12568" max="12568" width="14.140625" bestFit="1" customWidth="1"/>
    <col min="12569" max="12570" width="15.28515625" bestFit="1" customWidth="1"/>
    <col min="12571" max="12571" width="0" hidden="1" customWidth="1"/>
    <col min="12801" max="12801" width="9.28515625" bestFit="1" customWidth="1"/>
    <col min="12802" max="12802" width="11.140625" bestFit="1" customWidth="1"/>
    <col min="12807" max="12807" width="24" bestFit="1" customWidth="1"/>
    <col min="12808" max="12808" width="24.140625" bestFit="1" customWidth="1"/>
    <col min="12809" max="12813" width="9.28515625" bestFit="1" customWidth="1"/>
    <col min="12815" max="12816" width="9.28515625" bestFit="1" customWidth="1"/>
    <col min="12817" max="12820" width="0" hidden="1" customWidth="1"/>
    <col min="12821" max="12821" width="15.28515625" bestFit="1" customWidth="1"/>
    <col min="12822" max="12823" width="0" hidden="1" customWidth="1"/>
    <col min="12824" max="12824" width="14.140625" bestFit="1" customWidth="1"/>
    <col min="12825" max="12826" width="15.28515625" bestFit="1" customWidth="1"/>
    <col min="12827" max="12827" width="0" hidden="1" customWidth="1"/>
    <col min="13057" max="13057" width="9.28515625" bestFit="1" customWidth="1"/>
    <col min="13058" max="13058" width="11.140625" bestFit="1" customWidth="1"/>
    <col min="13063" max="13063" width="24" bestFit="1" customWidth="1"/>
    <col min="13064" max="13064" width="24.140625" bestFit="1" customWidth="1"/>
    <col min="13065" max="13069" width="9.28515625" bestFit="1" customWidth="1"/>
    <col min="13071" max="13072" width="9.28515625" bestFit="1" customWidth="1"/>
    <col min="13073" max="13076" width="0" hidden="1" customWidth="1"/>
    <col min="13077" max="13077" width="15.28515625" bestFit="1" customWidth="1"/>
    <col min="13078" max="13079" width="0" hidden="1" customWidth="1"/>
    <col min="13080" max="13080" width="14.140625" bestFit="1" customWidth="1"/>
    <col min="13081" max="13082" width="15.28515625" bestFit="1" customWidth="1"/>
    <col min="13083" max="13083" width="0" hidden="1" customWidth="1"/>
    <col min="13313" max="13313" width="9.28515625" bestFit="1" customWidth="1"/>
    <col min="13314" max="13314" width="11.140625" bestFit="1" customWidth="1"/>
    <col min="13319" max="13319" width="24" bestFit="1" customWidth="1"/>
    <col min="13320" max="13320" width="24.140625" bestFit="1" customWidth="1"/>
    <col min="13321" max="13325" width="9.28515625" bestFit="1" customWidth="1"/>
    <col min="13327" max="13328" width="9.28515625" bestFit="1" customWidth="1"/>
    <col min="13329" max="13332" width="0" hidden="1" customWidth="1"/>
    <col min="13333" max="13333" width="15.28515625" bestFit="1" customWidth="1"/>
    <col min="13334" max="13335" width="0" hidden="1" customWidth="1"/>
    <col min="13336" max="13336" width="14.140625" bestFit="1" customWidth="1"/>
    <col min="13337" max="13338" width="15.28515625" bestFit="1" customWidth="1"/>
    <col min="13339" max="13339" width="0" hidden="1" customWidth="1"/>
    <col min="13569" max="13569" width="9.28515625" bestFit="1" customWidth="1"/>
    <col min="13570" max="13570" width="11.140625" bestFit="1" customWidth="1"/>
    <col min="13575" max="13575" width="24" bestFit="1" customWidth="1"/>
    <col min="13576" max="13576" width="24.140625" bestFit="1" customWidth="1"/>
    <col min="13577" max="13581" width="9.28515625" bestFit="1" customWidth="1"/>
    <col min="13583" max="13584" width="9.28515625" bestFit="1" customWidth="1"/>
    <col min="13585" max="13588" width="0" hidden="1" customWidth="1"/>
    <col min="13589" max="13589" width="15.28515625" bestFit="1" customWidth="1"/>
    <col min="13590" max="13591" width="0" hidden="1" customWidth="1"/>
    <col min="13592" max="13592" width="14.140625" bestFit="1" customWidth="1"/>
    <col min="13593" max="13594" width="15.28515625" bestFit="1" customWidth="1"/>
    <col min="13595" max="13595" width="0" hidden="1" customWidth="1"/>
    <col min="13825" max="13825" width="9.28515625" bestFit="1" customWidth="1"/>
    <col min="13826" max="13826" width="11.140625" bestFit="1" customWidth="1"/>
    <col min="13831" max="13831" width="24" bestFit="1" customWidth="1"/>
    <col min="13832" max="13832" width="24.140625" bestFit="1" customWidth="1"/>
    <col min="13833" max="13837" width="9.28515625" bestFit="1" customWidth="1"/>
    <col min="13839" max="13840" width="9.28515625" bestFit="1" customWidth="1"/>
    <col min="13841" max="13844" width="0" hidden="1" customWidth="1"/>
    <col min="13845" max="13845" width="15.28515625" bestFit="1" customWidth="1"/>
    <col min="13846" max="13847" width="0" hidden="1" customWidth="1"/>
    <col min="13848" max="13848" width="14.140625" bestFit="1" customWidth="1"/>
    <col min="13849" max="13850" width="15.28515625" bestFit="1" customWidth="1"/>
    <col min="13851" max="13851" width="0" hidden="1" customWidth="1"/>
    <col min="14081" max="14081" width="9.28515625" bestFit="1" customWidth="1"/>
    <col min="14082" max="14082" width="11.140625" bestFit="1" customWidth="1"/>
    <col min="14087" max="14087" width="24" bestFit="1" customWidth="1"/>
    <col min="14088" max="14088" width="24.140625" bestFit="1" customWidth="1"/>
    <col min="14089" max="14093" width="9.28515625" bestFit="1" customWidth="1"/>
    <col min="14095" max="14096" width="9.28515625" bestFit="1" customWidth="1"/>
    <col min="14097" max="14100" width="0" hidden="1" customWidth="1"/>
    <col min="14101" max="14101" width="15.28515625" bestFit="1" customWidth="1"/>
    <col min="14102" max="14103" width="0" hidden="1" customWidth="1"/>
    <col min="14104" max="14104" width="14.140625" bestFit="1" customWidth="1"/>
    <col min="14105" max="14106" width="15.28515625" bestFit="1" customWidth="1"/>
    <col min="14107" max="14107" width="0" hidden="1" customWidth="1"/>
    <col min="14337" max="14337" width="9.28515625" bestFit="1" customWidth="1"/>
    <col min="14338" max="14338" width="11.140625" bestFit="1" customWidth="1"/>
    <col min="14343" max="14343" width="24" bestFit="1" customWidth="1"/>
    <col min="14344" max="14344" width="24.140625" bestFit="1" customWidth="1"/>
    <col min="14345" max="14349" width="9.28515625" bestFit="1" customWidth="1"/>
    <col min="14351" max="14352" width="9.28515625" bestFit="1" customWidth="1"/>
    <col min="14353" max="14356" width="0" hidden="1" customWidth="1"/>
    <col min="14357" max="14357" width="15.28515625" bestFit="1" customWidth="1"/>
    <col min="14358" max="14359" width="0" hidden="1" customWidth="1"/>
    <col min="14360" max="14360" width="14.140625" bestFit="1" customWidth="1"/>
    <col min="14361" max="14362" width="15.28515625" bestFit="1" customWidth="1"/>
    <col min="14363" max="14363" width="0" hidden="1" customWidth="1"/>
    <col min="14593" max="14593" width="9.28515625" bestFit="1" customWidth="1"/>
    <col min="14594" max="14594" width="11.140625" bestFit="1" customWidth="1"/>
    <col min="14599" max="14599" width="24" bestFit="1" customWidth="1"/>
    <col min="14600" max="14600" width="24.140625" bestFit="1" customWidth="1"/>
    <col min="14601" max="14605" width="9.28515625" bestFit="1" customWidth="1"/>
    <col min="14607" max="14608" width="9.28515625" bestFit="1" customWidth="1"/>
    <col min="14609" max="14612" width="0" hidden="1" customWidth="1"/>
    <col min="14613" max="14613" width="15.28515625" bestFit="1" customWidth="1"/>
    <col min="14614" max="14615" width="0" hidden="1" customWidth="1"/>
    <col min="14616" max="14616" width="14.140625" bestFit="1" customWidth="1"/>
    <col min="14617" max="14618" width="15.28515625" bestFit="1" customWidth="1"/>
    <col min="14619" max="14619" width="0" hidden="1" customWidth="1"/>
    <col min="14849" max="14849" width="9.28515625" bestFit="1" customWidth="1"/>
    <col min="14850" max="14850" width="11.140625" bestFit="1" customWidth="1"/>
    <col min="14855" max="14855" width="24" bestFit="1" customWidth="1"/>
    <col min="14856" max="14856" width="24.140625" bestFit="1" customWidth="1"/>
    <col min="14857" max="14861" width="9.28515625" bestFit="1" customWidth="1"/>
    <col min="14863" max="14864" width="9.28515625" bestFit="1" customWidth="1"/>
    <col min="14865" max="14868" width="0" hidden="1" customWidth="1"/>
    <col min="14869" max="14869" width="15.28515625" bestFit="1" customWidth="1"/>
    <col min="14870" max="14871" width="0" hidden="1" customWidth="1"/>
    <col min="14872" max="14872" width="14.140625" bestFit="1" customWidth="1"/>
    <col min="14873" max="14874" width="15.28515625" bestFit="1" customWidth="1"/>
    <col min="14875" max="14875" width="0" hidden="1" customWidth="1"/>
    <col min="15105" max="15105" width="9.28515625" bestFit="1" customWidth="1"/>
    <col min="15106" max="15106" width="11.140625" bestFit="1" customWidth="1"/>
    <col min="15111" max="15111" width="24" bestFit="1" customWidth="1"/>
    <col min="15112" max="15112" width="24.140625" bestFit="1" customWidth="1"/>
    <col min="15113" max="15117" width="9.28515625" bestFit="1" customWidth="1"/>
    <col min="15119" max="15120" width="9.28515625" bestFit="1" customWidth="1"/>
    <col min="15121" max="15124" width="0" hidden="1" customWidth="1"/>
    <col min="15125" max="15125" width="15.28515625" bestFit="1" customWidth="1"/>
    <col min="15126" max="15127" width="0" hidden="1" customWidth="1"/>
    <col min="15128" max="15128" width="14.140625" bestFit="1" customWidth="1"/>
    <col min="15129" max="15130" width="15.28515625" bestFit="1" customWidth="1"/>
    <col min="15131" max="15131" width="0" hidden="1" customWidth="1"/>
    <col min="15361" max="15361" width="9.28515625" bestFit="1" customWidth="1"/>
    <col min="15362" max="15362" width="11.140625" bestFit="1" customWidth="1"/>
    <col min="15367" max="15367" width="24" bestFit="1" customWidth="1"/>
    <col min="15368" max="15368" width="24.140625" bestFit="1" customWidth="1"/>
    <col min="15369" max="15373" width="9.28515625" bestFit="1" customWidth="1"/>
    <col min="15375" max="15376" width="9.28515625" bestFit="1" customWidth="1"/>
    <col min="15377" max="15380" width="0" hidden="1" customWidth="1"/>
    <col min="15381" max="15381" width="15.28515625" bestFit="1" customWidth="1"/>
    <col min="15382" max="15383" width="0" hidden="1" customWidth="1"/>
    <col min="15384" max="15384" width="14.140625" bestFit="1" customWidth="1"/>
    <col min="15385" max="15386" width="15.28515625" bestFit="1" customWidth="1"/>
    <col min="15387" max="15387" width="0" hidden="1" customWidth="1"/>
    <col min="15617" max="15617" width="9.28515625" bestFit="1" customWidth="1"/>
    <col min="15618" max="15618" width="11.140625" bestFit="1" customWidth="1"/>
    <col min="15623" max="15623" width="24" bestFit="1" customWidth="1"/>
    <col min="15624" max="15624" width="24.140625" bestFit="1" customWidth="1"/>
    <col min="15625" max="15629" width="9.28515625" bestFit="1" customWidth="1"/>
    <col min="15631" max="15632" width="9.28515625" bestFit="1" customWidth="1"/>
    <col min="15633" max="15636" width="0" hidden="1" customWidth="1"/>
    <col min="15637" max="15637" width="15.28515625" bestFit="1" customWidth="1"/>
    <col min="15638" max="15639" width="0" hidden="1" customWidth="1"/>
    <col min="15640" max="15640" width="14.140625" bestFit="1" customWidth="1"/>
    <col min="15641" max="15642" width="15.28515625" bestFit="1" customWidth="1"/>
    <col min="15643" max="15643" width="0" hidden="1" customWidth="1"/>
    <col min="15873" max="15873" width="9.28515625" bestFit="1" customWidth="1"/>
    <col min="15874" max="15874" width="11.140625" bestFit="1" customWidth="1"/>
    <col min="15879" max="15879" width="24" bestFit="1" customWidth="1"/>
    <col min="15880" max="15880" width="24.140625" bestFit="1" customWidth="1"/>
    <col min="15881" max="15885" width="9.28515625" bestFit="1" customWidth="1"/>
    <col min="15887" max="15888" width="9.28515625" bestFit="1" customWidth="1"/>
    <col min="15889" max="15892" width="0" hidden="1" customWidth="1"/>
    <col min="15893" max="15893" width="15.28515625" bestFit="1" customWidth="1"/>
    <col min="15894" max="15895" width="0" hidden="1" customWidth="1"/>
    <col min="15896" max="15896" width="14.140625" bestFit="1" customWidth="1"/>
    <col min="15897" max="15898" width="15.28515625" bestFit="1" customWidth="1"/>
    <col min="15899" max="15899" width="0" hidden="1" customWidth="1"/>
    <col min="16129" max="16129" width="9.28515625" bestFit="1" customWidth="1"/>
    <col min="16130" max="16130" width="11.140625" bestFit="1" customWidth="1"/>
    <col min="16135" max="16135" width="24" bestFit="1" customWidth="1"/>
    <col min="16136" max="16136" width="24.140625" bestFit="1" customWidth="1"/>
    <col min="16137" max="16141" width="9.28515625" bestFit="1" customWidth="1"/>
    <col min="16143" max="16144" width="9.28515625" bestFit="1" customWidth="1"/>
    <col min="16145" max="16148" width="0" hidden="1" customWidth="1"/>
    <col min="16149" max="16149" width="15.28515625" bestFit="1" customWidth="1"/>
    <col min="16150" max="16151" width="0" hidden="1" customWidth="1"/>
    <col min="16152" max="16152" width="14.140625" bestFit="1" customWidth="1"/>
    <col min="16153" max="16154" width="15.28515625" bestFit="1" customWidth="1"/>
    <col min="16155" max="16155" width="0" hidden="1" customWidth="1"/>
  </cols>
  <sheetData>
    <row r="1" spans="1:40" s="3" customFormat="1" ht="18" customHeight="1" x14ac:dyDescent="0.3">
      <c r="A1" s="1" t="s">
        <v>0</v>
      </c>
      <c r="B1" s="2"/>
      <c r="D1" s="4"/>
      <c r="E1" s="5"/>
      <c r="F1" s="5"/>
      <c r="G1" s="5"/>
      <c r="J1" s="4"/>
      <c r="M1" s="6"/>
      <c r="N1" s="7"/>
      <c r="O1" s="7"/>
      <c r="P1" s="6"/>
      <c r="Q1" s="8"/>
      <c r="R1" s="9"/>
      <c r="S1" s="10"/>
      <c r="T1" s="11"/>
      <c r="U1" s="12"/>
      <c r="V1" s="13"/>
      <c r="W1" s="14"/>
      <c r="X1" s="5"/>
      <c r="Y1" s="5"/>
      <c r="Z1" s="5"/>
      <c r="AA1" s="15"/>
      <c r="AB1" s="16"/>
    </row>
    <row r="2" spans="1:40" s="3" customFormat="1" ht="18" customHeight="1" x14ac:dyDescent="0.3">
      <c r="A2" s="17" t="s">
        <v>1</v>
      </c>
      <c r="B2" s="2"/>
      <c r="D2" s="18"/>
      <c r="E2" s="5"/>
      <c r="F2" s="5"/>
      <c r="G2" s="5"/>
      <c r="J2" s="4"/>
      <c r="M2" s="4"/>
      <c r="N2" s="19"/>
      <c r="O2" s="6"/>
      <c r="P2" s="6"/>
      <c r="Q2" s="15"/>
      <c r="R2" s="8"/>
      <c r="S2" s="20"/>
      <c r="T2" s="21"/>
      <c r="U2" s="4"/>
      <c r="V2" s="4"/>
      <c r="W2" s="22"/>
      <c r="X2" s="5"/>
      <c r="Y2" s="5"/>
      <c r="Z2" s="6"/>
      <c r="AA2" s="15"/>
      <c r="AB2" s="23"/>
    </row>
    <row r="3" spans="1:40" s="3" customFormat="1" ht="18" customHeight="1" x14ac:dyDescent="0.3">
      <c r="A3" s="24" t="s">
        <v>2</v>
      </c>
      <c r="B3" s="25"/>
      <c r="C3" s="26"/>
      <c r="D3" s="27"/>
      <c r="E3" s="5"/>
      <c r="F3" s="5"/>
      <c r="J3" s="4"/>
      <c r="K3" s="26"/>
      <c r="L3" s="26"/>
      <c r="M3" s="4"/>
      <c r="N3" s="6"/>
      <c r="O3" s="6"/>
      <c r="P3" s="28"/>
      <c r="Q3" s="29">
        <f>IF(W3=0,R3,R3/1.11)</f>
        <v>0</v>
      </c>
      <c r="R3" s="28"/>
      <c r="S3" s="30"/>
      <c r="T3" s="28"/>
      <c r="U3" s="6"/>
      <c r="V3" s="31"/>
      <c r="W3" s="32"/>
      <c r="X3" s="5"/>
      <c r="Y3" s="5"/>
      <c r="Z3" s="28"/>
      <c r="AA3" s="28"/>
      <c r="AB3" s="23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</row>
    <row r="4" spans="1:40" s="3" customFormat="1" ht="18" customHeight="1" x14ac:dyDescent="0.3">
      <c r="A4" s="33" t="s">
        <v>3</v>
      </c>
      <c r="B4" s="25"/>
      <c r="C4" s="26"/>
      <c r="D4" s="27"/>
      <c r="E4" s="26"/>
      <c r="F4" s="26"/>
      <c r="G4" s="34"/>
      <c r="H4" s="4"/>
      <c r="I4" s="4"/>
      <c r="J4" s="4"/>
      <c r="K4" s="26"/>
      <c r="L4" s="26"/>
      <c r="M4" s="4"/>
      <c r="N4" s="6"/>
      <c r="O4" s="26"/>
      <c r="P4" s="28"/>
      <c r="Q4" s="35"/>
      <c r="R4" s="29"/>
      <c r="S4" s="36"/>
      <c r="T4" s="28"/>
      <c r="U4" s="6"/>
      <c r="V4" s="29"/>
      <c r="W4" s="32"/>
      <c r="X4" s="32"/>
      <c r="Y4" s="5"/>
      <c r="Z4" s="28"/>
      <c r="AA4" s="28"/>
      <c r="AB4" s="37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pans="1:40" s="3" customFormat="1" ht="12" customHeight="1" x14ac:dyDescent="0.3">
      <c r="A5" s="24"/>
      <c r="B5" s="25"/>
      <c r="C5" s="4"/>
      <c r="D5" s="18"/>
      <c r="E5" s="26"/>
      <c r="F5" s="26"/>
      <c r="G5" s="38" t="s">
        <v>4</v>
      </c>
      <c r="H5" s="26"/>
      <c r="I5" s="26"/>
      <c r="J5" s="26"/>
      <c r="K5" s="26"/>
      <c r="L5" s="26"/>
      <c r="M5" s="26"/>
      <c r="N5" s="26"/>
      <c r="P5" s="28"/>
      <c r="S5" s="39"/>
      <c r="T5" s="28"/>
      <c r="U5" s="28"/>
      <c r="V5" s="28"/>
      <c r="W5" s="32"/>
      <c r="X5" s="32"/>
      <c r="Y5" s="40"/>
      <c r="Z5" s="28"/>
      <c r="AA5" s="28"/>
      <c r="AB5" s="41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</row>
    <row r="6" spans="1:40" s="6" customFormat="1" ht="14.1" customHeight="1" x14ac:dyDescent="0.3">
      <c r="B6" s="42"/>
      <c r="C6" s="43"/>
      <c r="D6" s="44"/>
      <c r="G6" s="45" t="e">
        <f>VLOOKUP($F6,'[1]cust acak mulai 2021'!$B$4:$M$1649,2,0)</f>
        <v>#N/A</v>
      </c>
      <c r="H6" s="6" t="e">
        <f>VLOOKUP($F6,'[1]cust acak mulai 2021'!$B$4:$M$1649,3,0)</f>
        <v>#N/A</v>
      </c>
      <c r="I6" s="6" t="e">
        <f>VLOOKUP($F6,'[1]cust acak mulai 2021'!$B$4:$M$1649,4,0)</f>
        <v>#N/A</v>
      </c>
      <c r="J6" s="6" t="e">
        <f>VLOOKUP($F6,'[1]cust acak mulai 2021'!$B$4:$M$1649,5,0)</f>
        <v>#N/A</v>
      </c>
      <c r="K6" s="6" t="e">
        <f>VLOOKUP($F6,'[1]cust acak mulai 2021'!$B$4:$M$1649,6,0)</f>
        <v>#N/A</v>
      </c>
      <c r="L6" s="6" t="e">
        <f>VLOOKUP($F6,'[1]cust acak mulai 2021'!$B$4:$M$1649,7,0)</f>
        <v>#N/A</v>
      </c>
      <c r="M6" s="6" t="e">
        <f>VLOOKUP($N6,#REF!,4,0)</f>
        <v>#REF!</v>
      </c>
      <c r="O6" s="6" t="e">
        <f>VLOOKUP($N6,#REF!,2,0)</f>
        <v>#REF!</v>
      </c>
      <c r="P6" s="29"/>
      <c r="Q6" s="46"/>
      <c r="R6" s="29">
        <f>+Q6/0.8</f>
        <v>0</v>
      </c>
      <c r="S6" s="36">
        <f>IF(W6=0,R6,R6*1.11)</f>
        <v>0</v>
      </c>
      <c r="T6" s="47"/>
      <c r="U6" s="29">
        <f>(P6*Q6)-(P6*Q6*T6)</f>
        <v>0</v>
      </c>
      <c r="V6" s="29">
        <f>+U6*0.916666666666667</f>
        <v>0</v>
      </c>
      <c r="W6" s="48"/>
      <c r="X6" s="48">
        <f>+V6*W6/100</f>
        <v>0</v>
      </c>
      <c r="Y6" s="29">
        <f>(P6*R6)-(P6*R6*T6)</f>
        <v>0</v>
      </c>
      <c r="Z6" s="29"/>
      <c r="AA6" s="49">
        <f>Y6/0.8</f>
        <v>0</v>
      </c>
      <c r="AB6" s="50"/>
    </row>
    <row r="7" spans="1:40" s="63" customFormat="1" ht="15" customHeight="1" x14ac:dyDescent="0.3">
      <c r="A7" s="51" t="s">
        <v>5</v>
      </c>
      <c r="B7" s="52" t="s">
        <v>6</v>
      </c>
      <c r="C7" s="51" t="s">
        <v>7</v>
      </c>
      <c r="D7" s="53" t="s">
        <v>8</v>
      </c>
      <c r="E7" s="51" t="s">
        <v>9</v>
      </c>
      <c r="F7" s="51" t="s">
        <v>10</v>
      </c>
      <c r="G7" s="51" t="s">
        <v>11</v>
      </c>
      <c r="H7" s="51" t="s">
        <v>12</v>
      </c>
      <c r="I7" s="51" t="s">
        <v>13</v>
      </c>
      <c r="J7" s="51" t="s">
        <v>14</v>
      </c>
      <c r="K7" s="51" t="s">
        <v>15</v>
      </c>
      <c r="L7" s="51" t="s">
        <v>16</v>
      </c>
      <c r="M7" s="51" t="s">
        <v>17</v>
      </c>
      <c r="N7" s="51" t="s">
        <v>10</v>
      </c>
      <c r="O7" s="51" t="s">
        <v>18</v>
      </c>
      <c r="P7" s="54" t="s">
        <v>19</v>
      </c>
      <c r="Q7" s="54" t="s">
        <v>20</v>
      </c>
      <c r="R7" s="54" t="s">
        <v>21</v>
      </c>
      <c r="S7" s="55" t="s">
        <v>22</v>
      </c>
      <c r="T7" s="56" t="s">
        <v>23</v>
      </c>
      <c r="U7" s="57" t="s">
        <v>24</v>
      </c>
      <c r="V7" s="58" t="s">
        <v>25</v>
      </c>
      <c r="W7" s="56" t="s">
        <v>26</v>
      </c>
      <c r="X7" s="59" t="s">
        <v>27</v>
      </c>
      <c r="Y7" s="58" t="s">
        <v>28</v>
      </c>
      <c r="Z7" s="60" t="s">
        <v>29</v>
      </c>
      <c r="AA7" s="61"/>
      <c r="AB7" s="62" t="s">
        <v>30</v>
      </c>
    </row>
    <row r="8" spans="1:40" s="71" customFormat="1" ht="18" customHeight="1" x14ac:dyDescent="0.3">
      <c r="A8" s="64">
        <v>1</v>
      </c>
      <c r="B8" s="65">
        <v>46235</v>
      </c>
      <c r="C8" s="7" t="s">
        <v>31</v>
      </c>
      <c r="D8" s="7" t="s">
        <v>32</v>
      </c>
      <c r="E8" s="7" t="s">
        <v>33</v>
      </c>
      <c r="F8" s="7" t="s">
        <v>34</v>
      </c>
      <c r="G8" s="45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  <c r="M8" s="6" t="s">
        <v>41</v>
      </c>
      <c r="N8" s="7" t="s">
        <v>42</v>
      </c>
      <c r="O8" s="7" t="s">
        <v>43</v>
      </c>
      <c r="P8" s="66">
        <v>3</v>
      </c>
      <c r="Q8" s="29">
        <f t="shared" ref="Q8:Q66" si="0">IF(W8=0,R8,R8/1.11)</f>
        <v>28800</v>
      </c>
      <c r="R8" s="29">
        <f t="shared" ref="R8:R66" si="1">+S8*0.8</f>
        <v>28800</v>
      </c>
      <c r="S8" s="36">
        <v>36000</v>
      </c>
      <c r="T8" s="66">
        <v>1</v>
      </c>
      <c r="U8" s="29">
        <f>(P8*Q8)-(P8*Q8*T8)</f>
        <v>0</v>
      </c>
      <c r="V8" s="29">
        <f t="shared" ref="V8:V66" si="2">+U8*0.916666666666667</f>
        <v>0</v>
      </c>
      <c r="W8" s="66">
        <v>0</v>
      </c>
      <c r="X8" s="48">
        <f t="shared" ref="X8:X66" si="3">+V8*W8/100</f>
        <v>0</v>
      </c>
      <c r="Y8" s="29">
        <f>(P8*R8)-(P8*R8*T8)</f>
        <v>0</v>
      </c>
      <c r="Z8" s="66">
        <v>1200000</v>
      </c>
      <c r="AA8" s="49">
        <f t="shared" ref="AA8:AA66" si="4">Y8/0.8</f>
        <v>0</v>
      </c>
      <c r="AB8" s="67"/>
      <c r="AC8" s="67"/>
      <c r="AD8" s="67"/>
      <c r="AE8" s="67"/>
      <c r="AF8" s="68"/>
      <c r="AG8" s="67"/>
      <c r="AH8" s="67"/>
      <c r="AI8" s="69"/>
      <c r="AJ8" s="69"/>
      <c r="AK8" s="67"/>
      <c r="AL8" s="67"/>
      <c r="AM8" s="67"/>
      <c r="AN8" s="70"/>
    </row>
    <row r="9" spans="1:40" s="71" customFormat="1" ht="18" customHeight="1" x14ac:dyDescent="0.3">
      <c r="A9" s="64">
        <v>2</v>
      </c>
      <c r="B9" s="65">
        <v>46235</v>
      </c>
      <c r="C9" s="7" t="s">
        <v>31</v>
      </c>
      <c r="D9" s="7" t="s">
        <v>32</v>
      </c>
      <c r="E9" s="7" t="s">
        <v>33</v>
      </c>
      <c r="F9" s="7" t="s">
        <v>34</v>
      </c>
      <c r="G9" s="45" t="s">
        <v>35</v>
      </c>
      <c r="H9" s="6" t="s">
        <v>36</v>
      </c>
      <c r="I9" s="6" t="s">
        <v>37</v>
      </c>
      <c r="J9" s="6" t="s">
        <v>38</v>
      </c>
      <c r="K9" s="6" t="s">
        <v>39</v>
      </c>
      <c r="L9" s="6" t="s">
        <v>40</v>
      </c>
      <c r="M9" s="6" t="s">
        <v>41</v>
      </c>
      <c r="N9" s="7" t="s">
        <v>44</v>
      </c>
      <c r="O9" s="7" t="s">
        <v>45</v>
      </c>
      <c r="P9" s="66">
        <v>30</v>
      </c>
      <c r="Q9" s="29">
        <f t="shared" si="0"/>
        <v>40000</v>
      </c>
      <c r="R9" s="29">
        <f t="shared" si="1"/>
        <v>40000</v>
      </c>
      <c r="S9" s="36">
        <v>50000</v>
      </c>
      <c r="T9" s="66">
        <v>0</v>
      </c>
      <c r="U9" s="29">
        <f>(P9*Q9)-(P9*Q9*T9)</f>
        <v>1200000</v>
      </c>
      <c r="V9" s="29">
        <f t="shared" si="2"/>
        <v>1100000</v>
      </c>
      <c r="W9" s="66">
        <v>0</v>
      </c>
      <c r="X9" s="48">
        <f t="shared" si="3"/>
        <v>0</v>
      </c>
      <c r="Y9" s="29">
        <f>(P9*R9)-(P9*R9*T9)</f>
        <v>1200000</v>
      </c>
      <c r="Z9" s="66">
        <v>1200000</v>
      </c>
      <c r="AA9" s="49">
        <f t="shared" si="4"/>
        <v>1500000</v>
      </c>
      <c r="AB9" s="67"/>
      <c r="AC9" s="67"/>
      <c r="AD9" s="67"/>
      <c r="AE9" s="67"/>
      <c r="AF9" s="68"/>
      <c r="AG9" s="67"/>
      <c r="AH9" s="67"/>
      <c r="AI9" s="69"/>
      <c r="AJ9" s="69"/>
      <c r="AK9" s="67"/>
      <c r="AL9" s="67"/>
      <c r="AM9" s="67"/>
      <c r="AN9" s="70"/>
    </row>
    <row r="10" spans="1:40" s="71" customFormat="1" ht="18" customHeight="1" x14ac:dyDescent="0.3">
      <c r="A10" s="64">
        <v>3</v>
      </c>
      <c r="B10" s="65">
        <v>46235</v>
      </c>
      <c r="C10" s="7" t="s">
        <v>46</v>
      </c>
      <c r="D10" s="7" t="s">
        <v>47</v>
      </c>
      <c r="E10" s="7" t="s">
        <v>48</v>
      </c>
      <c r="F10" s="7" t="s">
        <v>49</v>
      </c>
      <c r="G10" s="45" t="s">
        <v>50</v>
      </c>
      <c r="H10" s="6" t="s">
        <v>51</v>
      </c>
      <c r="I10" s="6" t="s">
        <v>52</v>
      </c>
      <c r="J10" s="6" t="s">
        <v>53</v>
      </c>
      <c r="K10" s="6" t="s">
        <v>54</v>
      </c>
      <c r="L10" s="6" t="s">
        <v>40</v>
      </c>
      <c r="M10" s="6" t="s">
        <v>55</v>
      </c>
      <c r="N10" s="7" t="s">
        <v>56</v>
      </c>
      <c r="O10" s="7" t="s">
        <v>57</v>
      </c>
      <c r="P10" s="66">
        <v>200</v>
      </c>
      <c r="Q10" s="29">
        <f t="shared" si="0"/>
        <v>87200</v>
      </c>
      <c r="R10" s="29">
        <f t="shared" si="1"/>
        <v>87200</v>
      </c>
      <c r="S10" s="36">
        <v>109000</v>
      </c>
      <c r="T10" s="66">
        <v>0</v>
      </c>
      <c r="U10" s="29">
        <f>(P10*Q10)-(P10*Q10*T10)</f>
        <v>17440000</v>
      </c>
      <c r="V10" s="29">
        <f t="shared" si="2"/>
        <v>15986666.666666666</v>
      </c>
      <c r="W10" s="66">
        <v>0</v>
      </c>
      <c r="X10" s="48">
        <f t="shared" si="3"/>
        <v>0</v>
      </c>
      <c r="Y10" s="29">
        <f>(P10*R10)-(P10*R10*T10)</f>
        <v>17440000</v>
      </c>
      <c r="Z10" s="66">
        <v>17440000</v>
      </c>
      <c r="AA10" s="49">
        <f t="shared" si="4"/>
        <v>21800000</v>
      </c>
      <c r="AB10" s="67"/>
      <c r="AC10" s="67"/>
      <c r="AD10" s="67"/>
      <c r="AE10" s="67"/>
      <c r="AF10" s="68"/>
      <c r="AG10" s="67"/>
      <c r="AH10" s="67"/>
      <c r="AI10" s="69"/>
      <c r="AJ10" s="69"/>
      <c r="AK10" s="67"/>
      <c r="AL10" s="67"/>
      <c r="AM10" s="67"/>
      <c r="AN10" s="70"/>
    </row>
    <row r="11" spans="1:40" s="71" customFormat="1" ht="18" customHeight="1" x14ac:dyDescent="0.3">
      <c r="A11" s="64">
        <v>4</v>
      </c>
      <c r="B11" s="65">
        <v>46235</v>
      </c>
      <c r="C11" s="7" t="s">
        <v>58</v>
      </c>
      <c r="D11" s="7" t="s">
        <v>59</v>
      </c>
      <c r="E11" s="7" t="s">
        <v>33</v>
      </c>
      <c r="F11" s="7" t="s">
        <v>60</v>
      </c>
      <c r="G11" s="45" t="s">
        <v>61</v>
      </c>
      <c r="H11" s="6" t="s">
        <v>62</v>
      </c>
      <c r="I11" s="6" t="s">
        <v>63</v>
      </c>
      <c r="J11" s="6" t="s">
        <v>38</v>
      </c>
      <c r="K11" s="6" t="s">
        <v>64</v>
      </c>
      <c r="L11" s="6" t="s">
        <v>40</v>
      </c>
      <c r="M11" s="6" t="s">
        <v>55</v>
      </c>
      <c r="N11" s="7" t="s">
        <v>65</v>
      </c>
      <c r="O11" s="7" t="s">
        <v>66</v>
      </c>
      <c r="P11" s="66">
        <v>200</v>
      </c>
      <c r="Q11" s="29">
        <f t="shared" si="0"/>
        <v>124000</v>
      </c>
      <c r="R11" s="29">
        <f t="shared" si="1"/>
        <v>124000</v>
      </c>
      <c r="S11" s="36">
        <v>155000</v>
      </c>
      <c r="T11" s="66">
        <v>0</v>
      </c>
      <c r="U11" s="29">
        <f>(P11*Q11)-(P11*Q11*T11)</f>
        <v>24800000</v>
      </c>
      <c r="V11" s="29">
        <f t="shared" si="2"/>
        <v>22733333.333333332</v>
      </c>
      <c r="W11" s="66">
        <v>0</v>
      </c>
      <c r="X11" s="48">
        <f t="shared" si="3"/>
        <v>0</v>
      </c>
      <c r="Y11" s="29">
        <f>(P11*R11)-(P11*R11*T11)</f>
        <v>24800000</v>
      </c>
      <c r="Z11" s="66">
        <v>24800000</v>
      </c>
      <c r="AA11" s="49">
        <f t="shared" si="4"/>
        <v>31000000</v>
      </c>
      <c r="AB11" s="67"/>
      <c r="AC11" s="67"/>
      <c r="AD11" s="67"/>
      <c r="AE11" s="67"/>
      <c r="AF11" s="68"/>
      <c r="AG11" s="67"/>
      <c r="AH11" s="67"/>
      <c r="AI11" s="69"/>
      <c r="AJ11" s="69"/>
      <c r="AK11" s="67"/>
      <c r="AL11" s="67"/>
      <c r="AM11" s="67"/>
      <c r="AN11" s="70"/>
    </row>
    <row r="12" spans="1:40" s="71" customFormat="1" ht="18" customHeight="1" x14ac:dyDescent="0.3">
      <c r="A12" s="64">
        <v>5</v>
      </c>
      <c r="B12" s="65">
        <v>46235</v>
      </c>
      <c r="C12" s="7" t="s">
        <v>67</v>
      </c>
      <c r="D12" s="7" t="s">
        <v>68</v>
      </c>
      <c r="E12" s="7" t="s">
        <v>33</v>
      </c>
      <c r="F12" s="7" t="s">
        <v>69</v>
      </c>
      <c r="G12" s="45" t="s">
        <v>35</v>
      </c>
      <c r="H12" s="6" t="s">
        <v>70</v>
      </c>
      <c r="I12" s="6" t="s">
        <v>37</v>
      </c>
      <c r="J12" s="6" t="s">
        <v>38</v>
      </c>
      <c r="K12" s="6" t="s">
        <v>71</v>
      </c>
      <c r="L12" s="6" t="s">
        <v>40</v>
      </c>
      <c r="M12" s="6" t="s">
        <v>72</v>
      </c>
      <c r="N12" s="7" t="s">
        <v>73</v>
      </c>
      <c r="O12" s="7" t="s">
        <v>74</v>
      </c>
      <c r="P12" s="66">
        <v>10</v>
      </c>
      <c r="Q12" s="29">
        <f t="shared" si="0"/>
        <v>128828.82882800001</v>
      </c>
      <c r="R12" s="29">
        <f t="shared" si="1"/>
        <v>142999.99999908003</v>
      </c>
      <c r="S12" s="36">
        <v>178749.99999885002</v>
      </c>
      <c r="T12" s="66">
        <v>0</v>
      </c>
      <c r="U12" s="29">
        <f>(P12*Q12)-(P12*Q12*T12)</f>
        <v>1288288.2882800002</v>
      </c>
      <c r="V12" s="29">
        <f t="shared" si="2"/>
        <v>1180930.9309233334</v>
      </c>
      <c r="W12" s="66">
        <v>12</v>
      </c>
      <c r="X12" s="48">
        <f t="shared" si="3"/>
        <v>141711.71171080001</v>
      </c>
      <c r="Y12" s="29">
        <f>(P12*R12)-(P12*R12*T12)</f>
        <v>1429999.9999908004</v>
      </c>
      <c r="Z12" s="66">
        <v>4418000.0000176001</v>
      </c>
      <c r="AA12" s="49">
        <f t="shared" si="4"/>
        <v>1787499.9999885005</v>
      </c>
      <c r="AB12" s="67"/>
      <c r="AC12" s="67"/>
      <c r="AD12" s="67"/>
      <c r="AE12" s="67"/>
      <c r="AF12" s="68"/>
      <c r="AG12" s="67"/>
      <c r="AH12" s="67"/>
      <c r="AI12" s="69"/>
      <c r="AJ12" s="69"/>
      <c r="AK12" s="67"/>
      <c r="AL12" s="67"/>
      <c r="AM12" s="67"/>
      <c r="AN12" s="70"/>
    </row>
    <row r="13" spans="1:40" s="71" customFormat="1" ht="18" customHeight="1" x14ac:dyDescent="0.3">
      <c r="A13" s="64">
        <v>6</v>
      </c>
      <c r="B13" s="65">
        <v>46235</v>
      </c>
      <c r="C13" s="7" t="s">
        <v>67</v>
      </c>
      <c r="D13" s="7" t="s">
        <v>68</v>
      </c>
      <c r="E13" s="7" t="s">
        <v>33</v>
      </c>
      <c r="F13" s="7" t="s">
        <v>69</v>
      </c>
      <c r="G13" s="45" t="s">
        <v>35</v>
      </c>
      <c r="H13" s="6" t="s">
        <v>70</v>
      </c>
      <c r="I13" s="6" t="s">
        <v>37</v>
      </c>
      <c r="J13" s="6" t="s">
        <v>38</v>
      </c>
      <c r="K13" s="6" t="s">
        <v>71</v>
      </c>
      <c r="L13" s="6" t="s">
        <v>40</v>
      </c>
      <c r="M13" s="6" t="s">
        <v>72</v>
      </c>
      <c r="N13" s="7" t="s">
        <v>75</v>
      </c>
      <c r="O13" s="7" t="s">
        <v>76</v>
      </c>
      <c r="P13" s="66">
        <v>20</v>
      </c>
      <c r="Q13" s="29">
        <f t="shared" si="0"/>
        <v>64324.324324000008</v>
      </c>
      <c r="R13" s="29">
        <f t="shared" si="1"/>
        <v>71399.999999640015</v>
      </c>
      <c r="S13" s="36">
        <v>89249.999999550011</v>
      </c>
      <c r="T13" s="66">
        <v>0</v>
      </c>
      <c r="U13" s="29">
        <f>(P13*Q13)-(P13*Q13*T13)</f>
        <v>1286486.4864800002</v>
      </c>
      <c r="V13" s="29">
        <f t="shared" si="2"/>
        <v>1179279.2792733335</v>
      </c>
      <c r="W13" s="66">
        <v>12</v>
      </c>
      <c r="X13" s="48">
        <f t="shared" si="3"/>
        <v>141513.51351280001</v>
      </c>
      <c r="Y13" s="29">
        <f>(P13*R13)-(P13*R13*T13)</f>
        <v>1427999.9999928004</v>
      </c>
      <c r="Z13" s="66">
        <v>4418000.0000176001</v>
      </c>
      <c r="AA13" s="49">
        <f t="shared" si="4"/>
        <v>1784999.9999910004</v>
      </c>
      <c r="AB13" s="67"/>
      <c r="AC13" s="67"/>
      <c r="AD13" s="67"/>
      <c r="AE13" s="67"/>
      <c r="AF13" s="68"/>
      <c r="AG13" s="67"/>
      <c r="AH13" s="67"/>
      <c r="AI13" s="69"/>
      <c r="AJ13" s="69"/>
      <c r="AK13" s="67"/>
      <c r="AL13" s="67"/>
      <c r="AM13" s="67"/>
      <c r="AN13" s="70"/>
    </row>
    <row r="14" spans="1:40" s="71" customFormat="1" ht="18" customHeight="1" x14ac:dyDescent="0.3">
      <c r="A14" s="64">
        <v>7</v>
      </c>
      <c r="B14" s="65">
        <v>46235</v>
      </c>
      <c r="C14" s="7" t="s">
        <v>67</v>
      </c>
      <c r="D14" s="7" t="s">
        <v>68</v>
      </c>
      <c r="E14" s="7" t="s">
        <v>33</v>
      </c>
      <c r="F14" s="7" t="s">
        <v>69</v>
      </c>
      <c r="G14" s="45" t="s">
        <v>35</v>
      </c>
      <c r="H14" s="6" t="s">
        <v>70</v>
      </c>
      <c r="I14" s="6" t="s">
        <v>37</v>
      </c>
      <c r="J14" s="6" t="s">
        <v>38</v>
      </c>
      <c r="K14" s="6" t="s">
        <v>71</v>
      </c>
      <c r="L14" s="6" t="s">
        <v>40</v>
      </c>
      <c r="M14" s="6" t="s">
        <v>72</v>
      </c>
      <c r="N14" s="7" t="s">
        <v>77</v>
      </c>
      <c r="O14" s="7" t="s">
        <v>78</v>
      </c>
      <c r="P14" s="66">
        <v>40</v>
      </c>
      <c r="Q14" s="29">
        <f t="shared" si="0"/>
        <v>35135.135134999997</v>
      </c>
      <c r="R14" s="29">
        <f t="shared" si="1"/>
        <v>38999.999999849999</v>
      </c>
      <c r="S14" s="36">
        <v>48749.999999812499</v>
      </c>
      <c r="T14" s="66">
        <v>0</v>
      </c>
      <c r="U14" s="29">
        <f>(P14*Q14)-(P14*Q14*T14)</f>
        <v>1405405.4053999998</v>
      </c>
      <c r="V14" s="29">
        <f t="shared" si="2"/>
        <v>1288288.2882833332</v>
      </c>
      <c r="W14" s="66">
        <v>12</v>
      </c>
      <c r="X14" s="48">
        <f t="shared" si="3"/>
        <v>154594.59459399999</v>
      </c>
      <c r="Y14" s="29">
        <f>(P14*R14)-(P14*R14*T14)</f>
        <v>1559999.999994</v>
      </c>
      <c r="Z14" s="66">
        <v>4418000.0000176001</v>
      </c>
      <c r="AA14" s="49">
        <f t="shared" si="4"/>
        <v>1949999.9999924998</v>
      </c>
      <c r="AB14" s="67"/>
      <c r="AC14" s="67"/>
      <c r="AD14" s="67"/>
      <c r="AE14" s="67"/>
      <c r="AF14" s="68"/>
      <c r="AG14" s="67"/>
      <c r="AH14" s="67"/>
      <c r="AI14" s="69"/>
      <c r="AJ14" s="69"/>
      <c r="AK14" s="67"/>
      <c r="AL14" s="67"/>
      <c r="AM14" s="67"/>
      <c r="AN14" s="70"/>
    </row>
    <row r="15" spans="1:40" s="71" customFormat="1" ht="18" customHeight="1" x14ac:dyDescent="0.3">
      <c r="A15" s="64">
        <v>8</v>
      </c>
      <c r="B15" s="65">
        <v>46235</v>
      </c>
      <c r="C15" s="7" t="s">
        <v>67</v>
      </c>
      <c r="D15" s="7" t="s">
        <v>79</v>
      </c>
      <c r="E15" s="7" t="s">
        <v>33</v>
      </c>
      <c r="F15" s="7" t="s">
        <v>69</v>
      </c>
      <c r="G15" s="45" t="s">
        <v>80</v>
      </c>
      <c r="H15" s="6" t="s">
        <v>70</v>
      </c>
      <c r="I15" s="6" t="s">
        <v>37</v>
      </c>
      <c r="J15" s="6" t="s">
        <v>38</v>
      </c>
      <c r="K15" s="6" t="s">
        <v>71</v>
      </c>
      <c r="L15" s="6" t="s">
        <v>40</v>
      </c>
      <c r="M15" s="6" t="s">
        <v>72</v>
      </c>
      <c r="N15" s="7" t="s">
        <v>81</v>
      </c>
      <c r="O15" s="7" t="s">
        <v>82</v>
      </c>
      <c r="P15" s="66">
        <v>2</v>
      </c>
      <c r="Q15" s="29">
        <f t="shared" si="0"/>
        <v>26666.666666666664</v>
      </c>
      <c r="R15" s="29">
        <f t="shared" si="1"/>
        <v>29600</v>
      </c>
      <c r="S15" s="36">
        <v>37000</v>
      </c>
      <c r="T15" s="66">
        <v>1</v>
      </c>
      <c r="U15" s="29">
        <f>(P15*Q15)-(P15*Q15*T15)</f>
        <v>0</v>
      </c>
      <c r="V15" s="29">
        <f t="shared" si="2"/>
        <v>0</v>
      </c>
      <c r="W15" s="66">
        <v>12</v>
      </c>
      <c r="X15" s="48">
        <f t="shared" si="3"/>
        <v>0</v>
      </c>
      <c r="Y15" s="29">
        <f>(P15*R15)-(P15*R15*T15)</f>
        <v>0</v>
      </c>
      <c r="Z15" s="66">
        <v>4418000.0000176001</v>
      </c>
      <c r="AA15" s="49">
        <f t="shared" si="4"/>
        <v>0</v>
      </c>
      <c r="AB15" s="72"/>
      <c r="AC15" s="67"/>
      <c r="AD15" s="67"/>
      <c r="AE15" s="67"/>
      <c r="AF15" s="68"/>
      <c r="AG15" s="67"/>
      <c r="AH15" s="67"/>
      <c r="AI15" s="69"/>
      <c r="AJ15" s="69"/>
      <c r="AK15" s="67"/>
      <c r="AL15" s="67"/>
      <c r="AM15" s="67"/>
      <c r="AN15" s="70"/>
    </row>
    <row r="16" spans="1:40" s="71" customFormat="1" ht="18" customHeight="1" x14ac:dyDescent="0.3">
      <c r="A16" s="64">
        <v>9</v>
      </c>
      <c r="B16" s="65">
        <v>46235</v>
      </c>
      <c r="C16" s="7" t="s">
        <v>83</v>
      </c>
      <c r="D16" s="7" t="s">
        <v>59</v>
      </c>
      <c r="E16" s="7" t="s">
        <v>33</v>
      </c>
      <c r="F16" s="7" t="s">
        <v>84</v>
      </c>
      <c r="G16" s="45" t="s">
        <v>61</v>
      </c>
      <c r="H16" s="6" t="s">
        <v>85</v>
      </c>
      <c r="I16" s="6" t="s">
        <v>86</v>
      </c>
      <c r="J16" s="6" t="s">
        <v>38</v>
      </c>
      <c r="K16" s="6" t="s">
        <v>87</v>
      </c>
      <c r="L16" s="6" t="s">
        <v>40</v>
      </c>
      <c r="M16" s="6" t="s">
        <v>55</v>
      </c>
      <c r="N16" s="7" t="s">
        <v>65</v>
      </c>
      <c r="O16" s="7" t="s">
        <v>66</v>
      </c>
      <c r="P16" s="66">
        <v>200</v>
      </c>
      <c r="Q16" s="29">
        <f t="shared" si="0"/>
        <v>124000</v>
      </c>
      <c r="R16" s="29">
        <f t="shared" si="1"/>
        <v>124000</v>
      </c>
      <c r="S16" s="36">
        <v>155000</v>
      </c>
      <c r="T16" s="66">
        <v>0</v>
      </c>
      <c r="U16" s="29">
        <f>(P16*Q16)-(P16*Q16*T16)</f>
        <v>24800000</v>
      </c>
      <c r="V16" s="29">
        <f t="shared" si="2"/>
        <v>22733333.333333332</v>
      </c>
      <c r="W16" s="66">
        <v>0</v>
      </c>
      <c r="X16" s="48">
        <f t="shared" si="3"/>
        <v>0</v>
      </c>
      <c r="Y16" s="29">
        <f>(P16*R16)-(P16*R16*T16)</f>
        <v>24800000</v>
      </c>
      <c r="Z16" s="66">
        <v>24800000</v>
      </c>
      <c r="AA16" s="49">
        <f t="shared" si="4"/>
        <v>31000000</v>
      </c>
      <c r="AB16" s="67"/>
      <c r="AC16" s="67"/>
      <c r="AD16" s="67"/>
      <c r="AE16" s="67"/>
      <c r="AF16" s="68"/>
      <c r="AG16" s="67"/>
      <c r="AH16" s="67"/>
      <c r="AI16" s="69"/>
      <c r="AJ16" s="69"/>
      <c r="AK16" s="67"/>
      <c r="AL16" s="67"/>
      <c r="AM16" s="67"/>
      <c r="AN16" s="70"/>
    </row>
    <row r="17" spans="1:40" s="71" customFormat="1" ht="18" customHeight="1" x14ac:dyDescent="0.3">
      <c r="A17" s="64">
        <v>10</v>
      </c>
      <c r="B17" s="65">
        <v>46235</v>
      </c>
      <c r="C17" s="7" t="s">
        <v>88</v>
      </c>
      <c r="D17" s="7" t="s">
        <v>47</v>
      </c>
      <c r="E17" s="7" t="s">
        <v>48</v>
      </c>
      <c r="F17" s="7" t="s">
        <v>89</v>
      </c>
      <c r="G17" s="45" t="s">
        <v>50</v>
      </c>
      <c r="H17" s="6" t="s">
        <v>90</v>
      </c>
      <c r="I17" s="6" t="s">
        <v>91</v>
      </c>
      <c r="J17" s="6" t="s">
        <v>53</v>
      </c>
      <c r="K17" s="6" t="s">
        <v>92</v>
      </c>
      <c r="L17" s="6" t="s">
        <v>40</v>
      </c>
      <c r="M17" s="6" t="s">
        <v>55</v>
      </c>
      <c r="N17" s="7" t="s">
        <v>56</v>
      </c>
      <c r="O17" s="7" t="s">
        <v>57</v>
      </c>
      <c r="P17" s="66">
        <v>200</v>
      </c>
      <c r="Q17" s="29">
        <f t="shared" si="0"/>
        <v>87200</v>
      </c>
      <c r="R17" s="29">
        <f t="shared" si="1"/>
        <v>87200</v>
      </c>
      <c r="S17" s="36">
        <v>109000</v>
      </c>
      <c r="T17" s="66">
        <v>0</v>
      </c>
      <c r="U17" s="29">
        <f>(P17*Q17)-(P17*Q17*T17)</f>
        <v>17440000</v>
      </c>
      <c r="V17" s="29">
        <f t="shared" si="2"/>
        <v>15986666.666666666</v>
      </c>
      <c r="W17" s="66">
        <v>0</v>
      </c>
      <c r="X17" s="48">
        <f t="shared" si="3"/>
        <v>0</v>
      </c>
      <c r="Y17" s="29">
        <f>(P17*R17)-(P17*R17*T17)</f>
        <v>17440000</v>
      </c>
      <c r="Z17" s="66">
        <v>17440000</v>
      </c>
      <c r="AA17" s="49">
        <f t="shared" si="4"/>
        <v>21800000</v>
      </c>
      <c r="AB17" s="67"/>
      <c r="AC17" s="67"/>
      <c r="AD17" s="67"/>
      <c r="AE17" s="67"/>
      <c r="AF17" s="68"/>
      <c r="AG17" s="67"/>
      <c r="AH17" s="67"/>
      <c r="AI17" s="69"/>
      <c r="AJ17" s="69"/>
      <c r="AK17" s="67"/>
      <c r="AL17" s="67"/>
      <c r="AM17" s="67"/>
      <c r="AN17" s="70"/>
    </row>
    <row r="18" spans="1:40" s="71" customFormat="1" ht="18" customHeight="1" x14ac:dyDescent="0.3">
      <c r="A18" s="64">
        <v>11</v>
      </c>
      <c r="B18" s="65">
        <v>46235</v>
      </c>
      <c r="C18" s="7" t="s">
        <v>93</v>
      </c>
      <c r="D18" s="7" t="s">
        <v>94</v>
      </c>
      <c r="E18" s="7" t="s">
        <v>95</v>
      </c>
      <c r="F18" s="7" t="s">
        <v>96</v>
      </c>
      <c r="G18" s="45" t="s">
        <v>97</v>
      </c>
      <c r="H18" s="6" t="s">
        <v>98</v>
      </c>
      <c r="I18" s="6" t="s">
        <v>99</v>
      </c>
      <c r="J18" s="6" t="s">
        <v>100</v>
      </c>
      <c r="K18" s="6" t="s">
        <v>101</v>
      </c>
      <c r="L18" s="6" t="s">
        <v>40</v>
      </c>
      <c r="M18" s="6" t="s">
        <v>102</v>
      </c>
      <c r="N18" s="7" t="s">
        <v>103</v>
      </c>
      <c r="O18" s="7" t="s">
        <v>104</v>
      </c>
      <c r="P18" s="66">
        <v>10</v>
      </c>
      <c r="Q18" s="29">
        <f t="shared" si="0"/>
        <v>104504.504504</v>
      </c>
      <c r="R18" s="29">
        <f t="shared" si="1"/>
        <v>115999.99999944</v>
      </c>
      <c r="S18" s="36">
        <v>144999.99999929999</v>
      </c>
      <c r="T18" s="66">
        <v>0</v>
      </c>
      <c r="U18" s="29">
        <f>(P18*Q18)-(P18*Q18*T18)</f>
        <v>1045045.04504</v>
      </c>
      <c r="V18" s="29">
        <f t="shared" si="2"/>
        <v>957957.95795333327</v>
      </c>
      <c r="W18" s="66">
        <v>12</v>
      </c>
      <c r="X18" s="48">
        <f t="shared" si="3"/>
        <v>114954.95495439999</v>
      </c>
      <c r="Y18" s="29">
        <f>(P18*R18)-(P18*R18*T18)</f>
        <v>1159999.9999944</v>
      </c>
      <c r="Z18" s="66">
        <v>1711999.9999563</v>
      </c>
      <c r="AA18" s="49">
        <f t="shared" si="4"/>
        <v>1449999.9999929999</v>
      </c>
      <c r="AB18" s="67"/>
      <c r="AC18" s="67"/>
      <c r="AD18" s="67"/>
      <c r="AE18" s="67"/>
      <c r="AF18" s="68"/>
      <c r="AG18" s="67"/>
      <c r="AH18" s="67"/>
      <c r="AI18" s="69"/>
      <c r="AJ18" s="69"/>
      <c r="AK18" s="67"/>
      <c r="AL18" s="67"/>
      <c r="AM18" s="67"/>
      <c r="AN18" s="70"/>
    </row>
    <row r="19" spans="1:40" s="71" customFormat="1" ht="18" customHeight="1" x14ac:dyDescent="0.3">
      <c r="A19" s="64">
        <v>12</v>
      </c>
      <c r="B19" s="65">
        <v>46235</v>
      </c>
      <c r="C19" s="7" t="s">
        <v>93</v>
      </c>
      <c r="D19" s="7" t="s">
        <v>94</v>
      </c>
      <c r="E19" s="7" t="s">
        <v>95</v>
      </c>
      <c r="F19" s="7" t="s">
        <v>96</v>
      </c>
      <c r="G19" s="45" t="s">
        <v>97</v>
      </c>
      <c r="H19" s="6" t="s">
        <v>98</v>
      </c>
      <c r="I19" s="6" t="s">
        <v>99</v>
      </c>
      <c r="J19" s="6" t="s">
        <v>100</v>
      </c>
      <c r="K19" s="6" t="s">
        <v>101</v>
      </c>
      <c r="L19" s="6" t="s">
        <v>40</v>
      </c>
      <c r="M19" s="6" t="s">
        <v>72</v>
      </c>
      <c r="N19" s="7" t="s">
        <v>105</v>
      </c>
      <c r="O19" s="7" t="s">
        <v>106</v>
      </c>
      <c r="P19" s="66">
        <v>10</v>
      </c>
      <c r="Q19" s="29">
        <f t="shared" si="0"/>
        <v>49729.729729000006</v>
      </c>
      <c r="R19" s="29">
        <f t="shared" si="1"/>
        <v>55199.999999190011</v>
      </c>
      <c r="S19" s="36">
        <v>68999.999998987507</v>
      </c>
      <c r="T19" s="66">
        <v>0</v>
      </c>
      <c r="U19" s="29">
        <f>(P19*Q19)-(P19*Q19*T19)</f>
        <v>497297.29729000008</v>
      </c>
      <c r="V19" s="29">
        <f t="shared" si="2"/>
        <v>455855.85584916669</v>
      </c>
      <c r="W19" s="66">
        <v>12</v>
      </c>
      <c r="X19" s="48">
        <f t="shared" si="3"/>
        <v>54702.702701900009</v>
      </c>
      <c r="Y19" s="29">
        <f>(P19*R19)-(P19*R19*T19)</f>
        <v>551999.99999190005</v>
      </c>
      <c r="Z19" s="66">
        <v>1711999.9999563</v>
      </c>
      <c r="AA19" s="49">
        <f t="shared" si="4"/>
        <v>689999.99998987501</v>
      </c>
      <c r="AB19" s="67"/>
      <c r="AC19" s="67"/>
      <c r="AD19" s="67"/>
      <c r="AE19" s="67"/>
      <c r="AF19" s="68"/>
      <c r="AG19" s="67"/>
      <c r="AH19" s="67"/>
      <c r="AI19" s="69"/>
      <c r="AJ19" s="69"/>
      <c r="AK19" s="67"/>
      <c r="AL19" s="67"/>
      <c r="AM19" s="67"/>
      <c r="AN19" s="70"/>
    </row>
    <row r="20" spans="1:40" s="71" customFormat="1" ht="18" customHeight="1" x14ac:dyDescent="0.3">
      <c r="A20" s="64">
        <v>13</v>
      </c>
      <c r="B20" s="65">
        <v>46235</v>
      </c>
      <c r="C20" s="7" t="s">
        <v>107</v>
      </c>
      <c r="D20" s="7" t="s">
        <v>59</v>
      </c>
      <c r="E20" s="7" t="s">
        <v>33</v>
      </c>
      <c r="F20" s="7" t="s">
        <v>108</v>
      </c>
      <c r="G20" s="45" t="s">
        <v>61</v>
      </c>
      <c r="H20" s="6" t="s">
        <v>109</v>
      </c>
      <c r="I20" s="6" t="s">
        <v>110</v>
      </c>
      <c r="J20" s="6" t="s">
        <v>38</v>
      </c>
      <c r="K20" s="6" t="s">
        <v>111</v>
      </c>
      <c r="L20" s="6" t="s">
        <v>40</v>
      </c>
      <c r="M20" s="6" t="s">
        <v>55</v>
      </c>
      <c r="N20" s="7" t="s">
        <v>65</v>
      </c>
      <c r="O20" s="7" t="s">
        <v>66</v>
      </c>
      <c r="P20" s="66">
        <v>200</v>
      </c>
      <c r="Q20" s="29">
        <f t="shared" si="0"/>
        <v>124000</v>
      </c>
      <c r="R20" s="29">
        <f t="shared" si="1"/>
        <v>124000</v>
      </c>
      <c r="S20" s="36">
        <v>155000</v>
      </c>
      <c r="T20" s="66">
        <v>0</v>
      </c>
      <c r="U20" s="29">
        <f>(P20*Q20)-(P20*Q20*T20)</f>
        <v>24800000</v>
      </c>
      <c r="V20" s="29">
        <f t="shared" si="2"/>
        <v>22733333.333333332</v>
      </c>
      <c r="W20" s="66">
        <v>0</v>
      </c>
      <c r="X20" s="48">
        <f t="shared" si="3"/>
        <v>0</v>
      </c>
      <c r="Y20" s="29">
        <f>(P20*R20)-(P20*R20*T20)</f>
        <v>24800000</v>
      </c>
      <c r="Z20" s="66">
        <v>24800000</v>
      </c>
      <c r="AA20" s="49">
        <f t="shared" si="4"/>
        <v>31000000</v>
      </c>
      <c r="AB20" s="67"/>
      <c r="AC20" s="67"/>
      <c r="AD20" s="67"/>
      <c r="AE20" s="67"/>
      <c r="AF20" s="68"/>
      <c r="AG20" s="67"/>
      <c r="AH20" s="67"/>
      <c r="AI20" s="69"/>
      <c r="AJ20" s="69"/>
      <c r="AK20" s="67"/>
      <c r="AL20" s="67"/>
      <c r="AM20" s="67"/>
      <c r="AN20" s="70"/>
    </row>
    <row r="21" spans="1:40" s="71" customFormat="1" ht="18" customHeight="1" x14ac:dyDescent="0.3">
      <c r="A21" s="64">
        <v>14</v>
      </c>
      <c r="B21" s="65">
        <v>46235</v>
      </c>
      <c r="C21" s="7" t="s">
        <v>112</v>
      </c>
      <c r="D21" s="7" t="s">
        <v>47</v>
      </c>
      <c r="E21" s="7" t="s">
        <v>48</v>
      </c>
      <c r="F21" s="7" t="s">
        <v>113</v>
      </c>
      <c r="G21" s="45" t="s">
        <v>50</v>
      </c>
      <c r="H21" s="6" t="s">
        <v>114</v>
      </c>
      <c r="I21" s="6" t="s">
        <v>115</v>
      </c>
      <c r="J21" s="6" t="s">
        <v>53</v>
      </c>
      <c r="K21" s="6" t="s">
        <v>116</v>
      </c>
      <c r="L21" s="6" t="s">
        <v>40</v>
      </c>
      <c r="M21" s="6" t="s">
        <v>55</v>
      </c>
      <c r="N21" s="7" t="s">
        <v>56</v>
      </c>
      <c r="O21" s="7" t="s">
        <v>57</v>
      </c>
      <c r="P21" s="66">
        <v>200</v>
      </c>
      <c r="Q21" s="29">
        <f t="shared" si="0"/>
        <v>87200</v>
      </c>
      <c r="R21" s="29">
        <f t="shared" si="1"/>
        <v>87200</v>
      </c>
      <c r="S21" s="36">
        <v>109000</v>
      </c>
      <c r="T21" s="66">
        <v>0</v>
      </c>
      <c r="U21" s="29">
        <f>(P21*Q21)-(P21*Q21*T21)</f>
        <v>17440000</v>
      </c>
      <c r="V21" s="29">
        <f t="shared" si="2"/>
        <v>15986666.666666666</v>
      </c>
      <c r="W21" s="66">
        <v>0</v>
      </c>
      <c r="X21" s="48">
        <f t="shared" si="3"/>
        <v>0</v>
      </c>
      <c r="Y21" s="29">
        <f>(P21*R21)-(P21*R21*T21)</f>
        <v>17440000</v>
      </c>
      <c r="Z21" s="66">
        <v>17440000</v>
      </c>
      <c r="AA21" s="49">
        <f t="shared" si="4"/>
        <v>21800000</v>
      </c>
      <c r="AB21" s="67"/>
      <c r="AC21" s="67"/>
      <c r="AD21" s="67"/>
      <c r="AE21" s="67"/>
      <c r="AF21" s="68"/>
      <c r="AG21" s="67"/>
      <c r="AH21" s="67"/>
      <c r="AI21" s="69"/>
      <c r="AJ21" s="69"/>
      <c r="AK21" s="67"/>
      <c r="AL21" s="67"/>
      <c r="AM21" s="67"/>
      <c r="AN21" s="70"/>
    </row>
    <row r="22" spans="1:40" s="71" customFormat="1" ht="18" customHeight="1" x14ac:dyDescent="0.3">
      <c r="A22" s="64">
        <v>15</v>
      </c>
      <c r="B22" s="65">
        <v>46235</v>
      </c>
      <c r="C22" s="7" t="s">
        <v>117</v>
      </c>
      <c r="D22" s="7" t="s">
        <v>118</v>
      </c>
      <c r="E22" s="7" t="s">
        <v>48</v>
      </c>
      <c r="F22" s="7" t="s">
        <v>119</v>
      </c>
      <c r="G22" s="45" t="s">
        <v>120</v>
      </c>
      <c r="H22" s="6" t="s">
        <v>121</v>
      </c>
      <c r="I22" s="6" t="s">
        <v>122</v>
      </c>
      <c r="J22" s="6" t="s">
        <v>123</v>
      </c>
      <c r="K22" s="6" t="s">
        <v>124</v>
      </c>
      <c r="L22" s="6" t="s">
        <v>40</v>
      </c>
      <c r="M22" s="6" t="s">
        <v>72</v>
      </c>
      <c r="N22" s="7" t="s">
        <v>75</v>
      </c>
      <c r="O22" s="7" t="s">
        <v>76</v>
      </c>
      <c r="P22" s="66">
        <v>100</v>
      </c>
      <c r="Q22" s="29">
        <f t="shared" si="0"/>
        <v>64324.324324000008</v>
      </c>
      <c r="R22" s="29">
        <f t="shared" si="1"/>
        <v>71399.999999640015</v>
      </c>
      <c r="S22" s="36">
        <v>89249.999999550011</v>
      </c>
      <c r="T22" s="66">
        <v>0</v>
      </c>
      <c r="U22" s="29">
        <f>(P22*Q22)-(P22*Q22*T22)</f>
        <v>6432432.4324000012</v>
      </c>
      <c r="V22" s="29">
        <f t="shared" si="2"/>
        <v>5896396.3963666679</v>
      </c>
      <c r="W22" s="66">
        <v>12</v>
      </c>
      <c r="X22" s="48">
        <f t="shared" si="3"/>
        <v>707567.56756400014</v>
      </c>
      <c r="Y22" s="29">
        <f>(P22*R22)-(P22*R22*T22)</f>
        <v>7139999.9999640016</v>
      </c>
      <c r="Z22" s="66">
        <v>14939999.999934001</v>
      </c>
      <c r="AA22" s="49">
        <f t="shared" si="4"/>
        <v>8924999.9999550022</v>
      </c>
      <c r="AB22" s="67"/>
      <c r="AC22" s="67"/>
      <c r="AD22" s="67"/>
      <c r="AE22" s="67"/>
      <c r="AF22" s="68"/>
      <c r="AG22" s="67"/>
      <c r="AH22" s="67"/>
      <c r="AI22" s="69"/>
      <c r="AJ22" s="69"/>
      <c r="AK22" s="67"/>
      <c r="AL22" s="67"/>
      <c r="AM22" s="67"/>
      <c r="AN22" s="70"/>
    </row>
    <row r="23" spans="1:40" s="71" customFormat="1" ht="18" customHeight="1" x14ac:dyDescent="0.3">
      <c r="A23" s="64">
        <v>16</v>
      </c>
      <c r="B23" s="65">
        <v>46235</v>
      </c>
      <c r="C23" s="7" t="s">
        <v>117</v>
      </c>
      <c r="D23" s="7" t="s">
        <v>118</v>
      </c>
      <c r="E23" s="7" t="s">
        <v>48</v>
      </c>
      <c r="F23" s="7" t="s">
        <v>119</v>
      </c>
      <c r="G23" s="45" t="s">
        <v>120</v>
      </c>
      <c r="H23" s="6" t="s">
        <v>121</v>
      </c>
      <c r="I23" s="6" t="s">
        <v>122</v>
      </c>
      <c r="J23" s="6" t="s">
        <v>123</v>
      </c>
      <c r="K23" s="6" t="s">
        <v>124</v>
      </c>
      <c r="L23" s="6" t="s">
        <v>40</v>
      </c>
      <c r="M23" s="6" t="s">
        <v>72</v>
      </c>
      <c r="N23" s="7" t="s">
        <v>77</v>
      </c>
      <c r="O23" s="7" t="s">
        <v>78</v>
      </c>
      <c r="P23" s="66">
        <v>200</v>
      </c>
      <c r="Q23" s="29">
        <f t="shared" si="0"/>
        <v>35135.135134999997</v>
      </c>
      <c r="R23" s="29">
        <f t="shared" si="1"/>
        <v>38999.999999849999</v>
      </c>
      <c r="S23" s="36">
        <v>48749.999999812499</v>
      </c>
      <c r="T23" s="66">
        <v>0</v>
      </c>
      <c r="U23" s="29">
        <f>(P23*Q23)-(P23*Q23*T23)</f>
        <v>7027027.0269999998</v>
      </c>
      <c r="V23" s="29">
        <f t="shared" si="2"/>
        <v>6441441.4414166659</v>
      </c>
      <c r="W23" s="66">
        <v>12</v>
      </c>
      <c r="X23" s="48">
        <f t="shared" si="3"/>
        <v>772972.97296999989</v>
      </c>
      <c r="Y23" s="29">
        <f>(P23*R23)-(P23*R23*T23)</f>
        <v>7799999.9999700002</v>
      </c>
      <c r="Z23" s="66">
        <v>14939999.999934001</v>
      </c>
      <c r="AA23" s="49">
        <f t="shared" si="4"/>
        <v>9749999.9999624994</v>
      </c>
      <c r="AB23" s="67"/>
      <c r="AC23" s="67"/>
      <c r="AD23" s="67"/>
      <c r="AE23" s="67"/>
      <c r="AF23" s="68"/>
      <c r="AG23" s="67"/>
      <c r="AH23" s="67"/>
      <c r="AI23" s="69"/>
      <c r="AJ23" s="69"/>
      <c r="AK23" s="67"/>
      <c r="AL23" s="67"/>
      <c r="AM23" s="67"/>
      <c r="AN23" s="70"/>
    </row>
    <row r="24" spans="1:40" s="71" customFormat="1" ht="18" customHeight="1" x14ac:dyDescent="0.3">
      <c r="A24" s="64">
        <v>17</v>
      </c>
      <c r="B24" s="65">
        <v>46235</v>
      </c>
      <c r="C24" s="7" t="s">
        <v>125</v>
      </c>
      <c r="D24" s="7" t="s">
        <v>59</v>
      </c>
      <c r="E24" s="7" t="s">
        <v>33</v>
      </c>
      <c r="F24" s="7" t="s">
        <v>126</v>
      </c>
      <c r="G24" s="45" t="s">
        <v>61</v>
      </c>
      <c r="H24" s="6" t="s">
        <v>127</v>
      </c>
      <c r="I24" s="6" t="s">
        <v>128</v>
      </c>
      <c r="J24" s="6" t="s">
        <v>38</v>
      </c>
      <c r="K24" s="6" t="s">
        <v>129</v>
      </c>
      <c r="L24" s="6" t="s">
        <v>40</v>
      </c>
      <c r="M24" s="6" t="s">
        <v>55</v>
      </c>
      <c r="N24" s="7" t="s">
        <v>65</v>
      </c>
      <c r="O24" s="7" t="s">
        <v>66</v>
      </c>
      <c r="P24" s="66">
        <v>200</v>
      </c>
      <c r="Q24" s="29">
        <f t="shared" si="0"/>
        <v>124000</v>
      </c>
      <c r="R24" s="29">
        <f t="shared" si="1"/>
        <v>124000</v>
      </c>
      <c r="S24" s="36">
        <v>155000</v>
      </c>
      <c r="T24" s="66">
        <v>0</v>
      </c>
      <c r="U24" s="29">
        <f>(P24*Q24)-(P24*Q24*T24)</f>
        <v>24800000</v>
      </c>
      <c r="V24" s="29">
        <f t="shared" si="2"/>
        <v>22733333.333333332</v>
      </c>
      <c r="W24" s="66">
        <v>0</v>
      </c>
      <c r="X24" s="48">
        <f t="shared" si="3"/>
        <v>0</v>
      </c>
      <c r="Y24" s="29">
        <f>(P24*R24)-(P24*R24*T24)</f>
        <v>24800000</v>
      </c>
      <c r="Z24" s="66">
        <v>24800000</v>
      </c>
      <c r="AA24" s="49">
        <f t="shared" si="4"/>
        <v>31000000</v>
      </c>
      <c r="AB24" s="67"/>
      <c r="AC24" s="67"/>
      <c r="AD24" s="67"/>
      <c r="AE24" s="67"/>
      <c r="AF24" s="68"/>
      <c r="AG24" s="67"/>
      <c r="AH24" s="67"/>
      <c r="AI24" s="69"/>
      <c r="AJ24" s="69"/>
      <c r="AK24" s="67"/>
      <c r="AL24" s="67"/>
      <c r="AM24" s="67"/>
      <c r="AN24" s="70"/>
    </row>
    <row r="25" spans="1:40" s="71" customFormat="1" ht="18" customHeight="1" x14ac:dyDescent="0.3">
      <c r="A25" s="64">
        <v>18</v>
      </c>
      <c r="B25" s="65">
        <v>46235</v>
      </c>
      <c r="C25" s="7" t="s">
        <v>130</v>
      </c>
      <c r="D25" s="7" t="s">
        <v>47</v>
      </c>
      <c r="E25" s="7" t="s">
        <v>48</v>
      </c>
      <c r="F25" s="7" t="s">
        <v>131</v>
      </c>
      <c r="G25" s="45" t="s">
        <v>50</v>
      </c>
      <c r="H25" s="6" t="s">
        <v>132</v>
      </c>
      <c r="I25" s="6" t="s">
        <v>133</v>
      </c>
      <c r="J25" s="6" t="s">
        <v>53</v>
      </c>
      <c r="K25" s="6" t="s">
        <v>134</v>
      </c>
      <c r="L25" s="6" t="s">
        <v>40</v>
      </c>
      <c r="M25" s="6" t="s">
        <v>55</v>
      </c>
      <c r="N25" s="7" t="s">
        <v>56</v>
      </c>
      <c r="O25" s="7" t="s">
        <v>57</v>
      </c>
      <c r="P25" s="66">
        <v>200</v>
      </c>
      <c r="Q25" s="29">
        <f t="shared" si="0"/>
        <v>87200</v>
      </c>
      <c r="R25" s="29">
        <f t="shared" si="1"/>
        <v>87200</v>
      </c>
      <c r="S25" s="36">
        <v>109000</v>
      </c>
      <c r="T25" s="66">
        <v>0</v>
      </c>
      <c r="U25" s="29">
        <f>(P25*Q25)-(P25*Q25*T25)</f>
        <v>17440000</v>
      </c>
      <c r="V25" s="29">
        <f t="shared" si="2"/>
        <v>15986666.666666666</v>
      </c>
      <c r="W25" s="66">
        <v>0</v>
      </c>
      <c r="X25" s="48">
        <f t="shared" si="3"/>
        <v>0</v>
      </c>
      <c r="Y25" s="29">
        <f>(P25*R25)-(P25*R25*T25)</f>
        <v>17440000</v>
      </c>
      <c r="Z25" s="66">
        <v>17440000</v>
      </c>
      <c r="AA25" s="49">
        <f t="shared" si="4"/>
        <v>21800000</v>
      </c>
      <c r="AB25" s="67"/>
      <c r="AC25" s="67"/>
      <c r="AD25" s="67"/>
      <c r="AE25" s="67"/>
      <c r="AF25" s="68"/>
      <c r="AG25" s="67"/>
      <c r="AH25" s="67"/>
      <c r="AI25" s="69"/>
      <c r="AJ25" s="69"/>
      <c r="AK25" s="67"/>
      <c r="AL25" s="67"/>
      <c r="AM25" s="67"/>
      <c r="AN25" s="70"/>
    </row>
    <row r="26" spans="1:40" s="71" customFormat="1" ht="18" customHeight="1" x14ac:dyDescent="0.3">
      <c r="A26" s="64">
        <v>19</v>
      </c>
      <c r="B26" s="65">
        <v>46235</v>
      </c>
      <c r="C26" s="7" t="s">
        <v>135</v>
      </c>
      <c r="D26" s="7" t="s">
        <v>59</v>
      </c>
      <c r="E26" s="7" t="s">
        <v>33</v>
      </c>
      <c r="F26" s="7" t="s">
        <v>136</v>
      </c>
      <c r="G26" s="45" t="s">
        <v>61</v>
      </c>
      <c r="H26" s="6" t="s">
        <v>137</v>
      </c>
      <c r="I26" s="6" t="s">
        <v>138</v>
      </c>
      <c r="J26" s="6" t="s">
        <v>38</v>
      </c>
      <c r="K26" s="6" t="s">
        <v>139</v>
      </c>
      <c r="L26" s="6" t="s">
        <v>40</v>
      </c>
      <c r="M26" s="6" t="s">
        <v>55</v>
      </c>
      <c r="N26" s="7" t="s">
        <v>65</v>
      </c>
      <c r="O26" s="7" t="s">
        <v>66</v>
      </c>
      <c r="P26" s="66">
        <v>200</v>
      </c>
      <c r="Q26" s="29">
        <f t="shared" si="0"/>
        <v>124000</v>
      </c>
      <c r="R26" s="29">
        <f t="shared" si="1"/>
        <v>124000</v>
      </c>
      <c r="S26" s="36">
        <v>155000</v>
      </c>
      <c r="T26" s="66">
        <v>0</v>
      </c>
      <c r="U26" s="29">
        <f>(P26*Q26)-(P26*Q26*T26)</f>
        <v>24800000</v>
      </c>
      <c r="V26" s="29">
        <f t="shared" si="2"/>
        <v>22733333.333333332</v>
      </c>
      <c r="W26" s="66">
        <v>0</v>
      </c>
      <c r="X26" s="48">
        <f t="shared" si="3"/>
        <v>0</v>
      </c>
      <c r="Y26" s="29">
        <f>(P26*R26)-(P26*R26*T26)</f>
        <v>24800000</v>
      </c>
      <c r="Z26" s="66">
        <v>24800000</v>
      </c>
      <c r="AA26" s="49">
        <f t="shared" si="4"/>
        <v>31000000</v>
      </c>
      <c r="AB26" s="67"/>
      <c r="AC26" s="67"/>
      <c r="AD26" s="67"/>
      <c r="AE26" s="67"/>
      <c r="AF26" s="68"/>
      <c r="AG26" s="67"/>
      <c r="AH26" s="67"/>
      <c r="AI26" s="69"/>
      <c r="AJ26" s="69"/>
      <c r="AK26" s="67"/>
      <c r="AL26" s="67"/>
      <c r="AM26" s="67"/>
      <c r="AN26" s="70"/>
    </row>
    <row r="27" spans="1:40" s="71" customFormat="1" ht="18" customHeight="1" x14ac:dyDescent="0.3">
      <c r="A27" s="64">
        <v>20</v>
      </c>
      <c r="B27" s="65">
        <v>46235</v>
      </c>
      <c r="C27" s="7" t="s">
        <v>140</v>
      </c>
      <c r="D27" s="7" t="s">
        <v>47</v>
      </c>
      <c r="E27" s="7" t="s">
        <v>48</v>
      </c>
      <c r="F27" s="7" t="s">
        <v>141</v>
      </c>
      <c r="G27" s="45" t="s">
        <v>50</v>
      </c>
      <c r="H27" s="6" t="s">
        <v>142</v>
      </c>
      <c r="I27" s="6" t="s">
        <v>143</v>
      </c>
      <c r="J27" s="6" t="s">
        <v>53</v>
      </c>
      <c r="K27" s="6" t="s">
        <v>144</v>
      </c>
      <c r="L27" s="6" t="s">
        <v>40</v>
      </c>
      <c r="M27" s="6" t="s">
        <v>55</v>
      </c>
      <c r="N27" s="7" t="s">
        <v>56</v>
      </c>
      <c r="O27" s="7" t="s">
        <v>57</v>
      </c>
      <c r="P27" s="66">
        <v>200</v>
      </c>
      <c r="Q27" s="29">
        <f t="shared" si="0"/>
        <v>87200</v>
      </c>
      <c r="R27" s="29">
        <f t="shared" si="1"/>
        <v>87200</v>
      </c>
      <c r="S27" s="36">
        <v>109000</v>
      </c>
      <c r="T27" s="66">
        <v>0</v>
      </c>
      <c r="U27" s="29">
        <f>(P27*Q27)-(P27*Q27*T27)</f>
        <v>17440000</v>
      </c>
      <c r="V27" s="29">
        <f t="shared" si="2"/>
        <v>15986666.666666666</v>
      </c>
      <c r="W27" s="66">
        <v>0</v>
      </c>
      <c r="X27" s="48">
        <f t="shared" si="3"/>
        <v>0</v>
      </c>
      <c r="Y27" s="29">
        <f>(P27*R27)-(P27*R27*T27)</f>
        <v>17440000</v>
      </c>
      <c r="Z27" s="66">
        <v>17440000</v>
      </c>
      <c r="AA27" s="49">
        <f t="shared" si="4"/>
        <v>21800000</v>
      </c>
      <c r="AB27" s="67"/>
      <c r="AC27" s="67"/>
      <c r="AD27" s="67"/>
      <c r="AE27" s="67"/>
      <c r="AF27" s="68"/>
      <c r="AG27" s="67"/>
      <c r="AH27" s="67"/>
      <c r="AI27" s="69"/>
      <c r="AJ27" s="69"/>
      <c r="AK27" s="67"/>
      <c r="AL27" s="67"/>
      <c r="AM27" s="67"/>
      <c r="AN27" s="70"/>
    </row>
    <row r="28" spans="1:40" s="71" customFormat="1" ht="18" customHeight="1" x14ac:dyDescent="0.3">
      <c r="A28" s="64">
        <v>21</v>
      </c>
      <c r="B28" s="65">
        <v>46235</v>
      </c>
      <c r="C28" s="7" t="s">
        <v>145</v>
      </c>
      <c r="D28" s="7" t="s">
        <v>146</v>
      </c>
      <c r="E28" s="7" t="s">
        <v>33</v>
      </c>
      <c r="F28" s="7" t="s">
        <v>147</v>
      </c>
      <c r="G28" s="45" t="s">
        <v>148</v>
      </c>
      <c r="H28" s="6" t="s">
        <v>149</v>
      </c>
      <c r="I28" s="6" t="s">
        <v>150</v>
      </c>
      <c r="J28" s="6" t="s">
        <v>38</v>
      </c>
      <c r="K28" s="6" t="s">
        <v>151</v>
      </c>
      <c r="L28" s="6" t="s">
        <v>40</v>
      </c>
      <c r="M28" s="6" t="s">
        <v>41</v>
      </c>
      <c r="N28" s="7" t="s">
        <v>152</v>
      </c>
      <c r="O28" s="7" t="s">
        <v>153</v>
      </c>
      <c r="P28" s="66">
        <v>20</v>
      </c>
      <c r="Q28" s="29">
        <f t="shared" si="0"/>
        <v>24000</v>
      </c>
      <c r="R28" s="29">
        <f t="shared" si="1"/>
        <v>24000</v>
      </c>
      <c r="S28" s="36">
        <v>30000</v>
      </c>
      <c r="T28" s="66">
        <v>0</v>
      </c>
      <c r="U28" s="29">
        <f>(P28*Q28)-(P28*Q28*T28)</f>
        <v>480000</v>
      </c>
      <c r="V28" s="29">
        <f t="shared" si="2"/>
        <v>440000</v>
      </c>
      <c r="W28" s="66">
        <v>0</v>
      </c>
      <c r="X28" s="48">
        <f t="shared" si="3"/>
        <v>0</v>
      </c>
      <c r="Y28" s="29">
        <f>(P28*R28)-(P28*R28*T28)</f>
        <v>480000</v>
      </c>
      <c r="Z28" s="66">
        <v>9888000</v>
      </c>
      <c r="AA28" s="49">
        <f t="shared" si="4"/>
        <v>600000</v>
      </c>
      <c r="AB28" s="67"/>
      <c r="AC28" s="67"/>
      <c r="AD28" s="67"/>
      <c r="AE28" s="67"/>
      <c r="AF28" s="68"/>
      <c r="AG28" s="67"/>
      <c r="AH28" s="67"/>
      <c r="AI28" s="69"/>
      <c r="AJ28" s="69"/>
      <c r="AK28" s="67"/>
      <c r="AL28" s="67"/>
      <c r="AM28" s="67"/>
      <c r="AN28" s="70"/>
    </row>
    <row r="29" spans="1:40" s="71" customFormat="1" ht="18" customHeight="1" x14ac:dyDescent="0.3">
      <c r="A29" s="64">
        <v>22</v>
      </c>
      <c r="B29" s="65">
        <v>46235</v>
      </c>
      <c r="C29" s="7" t="s">
        <v>145</v>
      </c>
      <c r="D29" s="7" t="s">
        <v>146</v>
      </c>
      <c r="E29" s="7" t="s">
        <v>33</v>
      </c>
      <c r="F29" s="7" t="s">
        <v>147</v>
      </c>
      <c r="G29" s="45" t="s">
        <v>148</v>
      </c>
      <c r="H29" s="6" t="s">
        <v>149</v>
      </c>
      <c r="I29" s="6" t="s">
        <v>150</v>
      </c>
      <c r="J29" s="6" t="s">
        <v>38</v>
      </c>
      <c r="K29" s="6" t="s">
        <v>151</v>
      </c>
      <c r="L29" s="6" t="s">
        <v>40</v>
      </c>
      <c r="M29" s="6" t="s">
        <v>41</v>
      </c>
      <c r="N29" s="7" t="s">
        <v>154</v>
      </c>
      <c r="O29" s="7" t="s">
        <v>155</v>
      </c>
      <c r="P29" s="66">
        <v>40</v>
      </c>
      <c r="Q29" s="29">
        <f t="shared" si="0"/>
        <v>78400</v>
      </c>
      <c r="R29" s="29">
        <f t="shared" si="1"/>
        <v>78400</v>
      </c>
      <c r="S29" s="36">
        <v>98000</v>
      </c>
      <c r="T29" s="66">
        <v>0</v>
      </c>
      <c r="U29" s="29">
        <f>(P29*Q29)-(P29*Q29*T29)</f>
        <v>3136000</v>
      </c>
      <c r="V29" s="29">
        <f t="shared" si="2"/>
        <v>2874666.6666666665</v>
      </c>
      <c r="W29" s="66">
        <v>0</v>
      </c>
      <c r="X29" s="48">
        <f t="shared" si="3"/>
        <v>0</v>
      </c>
      <c r="Y29" s="29">
        <f>(P29*R29)-(P29*R29*T29)</f>
        <v>3136000</v>
      </c>
      <c r="Z29" s="66">
        <v>9888000</v>
      </c>
      <c r="AA29" s="49">
        <f t="shared" si="4"/>
        <v>3920000</v>
      </c>
      <c r="AB29" s="67"/>
      <c r="AC29" s="67"/>
      <c r="AD29" s="67"/>
      <c r="AE29" s="67"/>
      <c r="AF29" s="68"/>
      <c r="AG29" s="67"/>
      <c r="AH29" s="67"/>
      <c r="AI29" s="69"/>
      <c r="AJ29" s="69"/>
      <c r="AK29" s="67"/>
      <c r="AL29" s="67"/>
      <c r="AM29" s="67"/>
      <c r="AN29" s="70"/>
    </row>
    <row r="30" spans="1:40" s="71" customFormat="1" ht="18" customHeight="1" x14ac:dyDescent="0.3">
      <c r="A30" s="64">
        <v>23</v>
      </c>
      <c r="B30" s="65">
        <v>46235</v>
      </c>
      <c r="C30" s="7" t="s">
        <v>145</v>
      </c>
      <c r="D30" s="7" t="s">
        <v>146</v>
      </c>
      <c r="E30" s="7" t="s">
        <v>33</v>
      </c>
      <c r="F30" s="7" t="s">
        <v>147</v>
      </c>
      <c r="G30" s="45" t="s">
        <v>148</v>
      </c>
      <c r="H30" s="6" t="s">
        <v>149</v>
      </c>
      <c r="I30" s="6" t="s">
        <v>150</v>
      </c>
      <c r="J30" s="6" t="s">
        <v>38</v>
      </c>
      <c r="K30" s="6" t="s">
        <v>151</v>
      </c>
      <c r="L30" s="6" t="s">
        <v>40</v>
      </c>
      <c r="M30" s="6" t="s">
        <v>41</v>
      </c>
      <c r="N30" s="7" t="s">
        <v>154</v>
      </c>
      <c r="O30" s="7" t="s">
        <v>155</v>
      </c>
      <c r="P30" s="66">
        <v>80</v>
      </c>
      <c r="Q30" s="29">
        <f t="shared" si="0"/>
        <v>78400</v>
      </c>
      <c r="R30" s="29">
        <f t="shared" si="1"/>
        <v>78400</v>
      </c>
      <c r="S30" s="36">
        <v>98000</v>
      </c>
      <c r="T30" s="66">
        <v>0</v>
      </c>
      <c r="U30" s="29">
        <f>(P30*Q30)-(P30*Q30*T30)</f>
        <v>6272000</v>
      </c>
      <c r="V30" s="29">
        <f t="shared" si="2"/>
        <v>5749333.333333333</v>
      </c>
      <c r="W30" s="66">
        <v>0</v>
      </c>
      <c r="X30" s="48">
        <f t="shared" si="3"/>
        <v>0</v>
      </c>
      <c r="Y30" s="29">
        <f>(P30*R30)-(P30*R30*T30)</f>
        <v>6272000</v>
      </c>
      <c r="Z30" s="66">
        <v>9888000</v>
      </c>
      <c r="AA30" s="49">
        <f t="shared" si="4"/>
        <v>7840000</v>
      </c>
      <c r="AB30" s="67"/>
      <c r="AC30" s="67"/>
      <c r="AD30" s="67"/>
      <c r="AE30" s="67"/>
      <c r="AF30" s="68"/>
      <c r="AG30" s="67"/>
      <c r="AH30" s="67"/>
      <c r="AI30" s="69"/>
      <c r="AJ30" s="69"/>
      <c r="AK30" s="67"/>
      <c r="AL30" s="67"/>
      <c r="AM30" s="67"/>
      <c r="AN30" s="70"/>
    </row>
    <row r="31" spans="1:40" s="71" customFormat="1" ht="18" customHeight="1" x14ac:dyDescent="0.3">
      <c r="A31" s="64">
        <v>24</v>
      </c>
      <c r="B31" s="65">
        <v>46235</v>
      </c>
      <c r="C31" s="7" t="s">
        <v>156</v>
      </c>
      <c r="D31" s="7" t="s">
        <v>157</v>
      </c>
      <c r="E31" s="7" t="s">
        <v>33</v>
      </c>
      <c r="F31" s="7" t="s">
        <v>158</v>
      </c>
      <c r="G31" s="45" t="s">
        <v>148</v>
      </c>
      <c r="H31" s="6" t="s">
        <v>159</v>
      </c>
      <c r="I31" s="6" t="s">
        <v>160</v>
      </c>
      <c r="J31" s="6" t="s">
        <v>38</v>
      </c>
      <c r="K31" s="6" t="s">
        <v>161</v>
      </c>
      <c r="L31" s="6" t="s">
        <v>40</v>
      </c>
      <c r="M31" s="6" t="s">
        <v>72</v>
      </c>
      <c r="N31" s="7" t="s">
        <v>162</v>
      </c>
      <c r="O31" s="7" t="s">
        <v>163</v>
      </c>
      <c r="P31" s="66">
        <v>60</v>
      </c>
      <c r="Q31" s="29">
        <f t="shared" si="0"/>
        <v>53333.333332999995</v>
      </c>
      <c r="R31" s="29">
        <f t="shared" si="1"/>
        <v>59199.999999630003</v>
      </c>
      <c r="S31" s="36">
        <v>73999.999999537496</v>
      </c>
      <c r="T31" s="66">
        <v>0</v>
      </c>
      <c r="U31" s="29">
        <f>(P31*Q31)-(P31*Q31*T31)</f>
        <v>3199999.9999799998</v>
      </c>
      <c r="V31" s="29">
        <f t="shared" si="2"/>
        <v>2933333.3333149999</v>
      </c>
      <c r="W31" s="66">
        <v>12</v>
      </c>
      <c r="X31" s="48">
        <f t="shared" si="3"/>
        <v>351999.99999779998</v>
      </c>
      <c r="Y31" s="29">
        <f>(P31*R31)-(P31*R31*T31)</f>
        <v>3551999.9999778001</v>
      </c>
      <c r="Z31" s="66">
        <v>4980000.0000106003</v>
      </c>
      <c r="AA31" s="49">
        <f t="shared" si="4"/>
        <v>4439999.9999722494</v>
      </c>
      <c r="AB31" s="67"/>
      <c r="AC31" s="67"/>
      <c r="AD31" s="67"/>
      <c r="AE31" s="67"/>
      <c r="AF31" s="68"/>
      <c r="AG31" s="67"/>
      <c r="AH31" s="67"/>
      <c r="AI31" s="69"/>
      <c r="AJ31" s="69"/>
      <c r="AK31" s="67"/>
      <c r="AL31" s="67"/>
      <c r="AM31" s="67"/>
      <c r="AN31" s="70"/>
    </row>
    <row r="32" spans="1:40" s="71" customFormat="1" ht="18" customHeight="1" x14ac:dyDescent="0.3">
      <c r="A32" s="64">
        <v>25</v>
      </c>
      <c r="B32" s="65">
        <v>46235</v>
      </c>
      <c r="C32" s="7" t="s">
        <v>156</v>
      </c>
      <c r="D32" s="7" t="s">
        <v>157</v>
      </c>
      <c r="E32" s="7" t="s">
        <v>33</v>
      </c>
      <c r="F32" s="7" t="s">
        <v>158</v>
      </c>
      <c r="G32" s="45" t="s">
        <v>148</v>
      </c>
      <c r="H32" s="6" t="s">
        <v>159</v>
      </c>
      <c r="I32" s="6" t="s">
        <v>160</v>
      </c>
      <c r="J32" s="6" t="s">
        <v>38</v>
      </c>
      <c r="K32" s="6" t="s">
        <v>161</v>
      </c>
      <c r="L32" s="6" t="s">
        <v>40</v>
      </c>
      <c r="M32" s="6" t="s">
        <v>72</v>
      </c>
      <c r="N32" s="7" t="s">
        <v>75</v>
      </c>
      <c r="O32" s="7" t="s">
        <v>76</v>
      </c>
      <c r="P32" s="66">
        <v>20</v>
      </c>
      <c r="Q32" s="29">
        <f t="shared" si="0"/>
        <v>64324.324324000008</v>
      </c>
      <c r="R32" s="29">
        <f t="shared" si="1"/>
        <v>71399.999999640015</v>
      </c>
      <c r="S32" s="36">
        <v>89249.999999550011</v>
      </c>
      <c r="T32" s="66">
        <v>0</v>
      </c>
      <c r="U32" s="29">
        <f>(P32*Q32)-(P32*Q32*T32)</f>
        <v>1286486.4864800002</v>
      </c>
      <c r="V32" s="29">
        <f t="shared" si="2"/>
        <v>1179279.2792733335</v>
      </c>
      <c r="W32" s="66">
        <v>12</v>
      </c>
      <c r="X32" s="48">
        <f t="shared" si="3"/>
        <v>141513.51351280001</v>
      </c>
      <c r="Y32" s="29">
        <f>(P32*R32)-(P32*R32*T32)</f>
        <v>1427999.9999928004</v>
      </c>
      <c r="Z32" s="66">
        <v>4980000.0000106003</v>
      </c>
      <c r="AA32" s="49">
        <f t="shared" si="4"/>
        <v>1784999.9999910004</v>
      </c>
      <c r="AB32" s="67"/>
      <c r="AC32" s="67"/>
      <c r="AD32" s="67"/>
      <c r="AE32" s="67"/>
      <c r="AF32" s="68"/>
      <c r="AG32" s="67"/>
      <c r="AH32" s="67"/>
      <c r="AI32" s="69"/>
      <c r="AJ32" s="69"/>
      <c r="AK32" s="67"/>
      <c r="AL32" s="67"/>
      <c r="AM32" s="67"/>
      <c r="AN32" s="70"/>
    </row>
    <row r="33" spans="1:40" s="71" customFormat="1" ht="18" customHeight="1" x14ac:dyDescent="0.3">
      <c r="A33" s="64">
        <v>26</v>
      </c>
      <c r="B33" s="65">
        <v>46235</v>
      </c>
      <c r="C33" s="7" t="s">
        <v>156</v>
      </c>
      <c r="D33" s="7" t="s">
        <v>164</v>
      </c>
      <c r="E33" s="7" t="s">
        <v>33</v>
      </c>
      <c r="F33" s="7" t="s">
        <v>158</v>
      </c>
      <c r="G33" s="45" t="s">
        <v>165</v>
      </c>
      <c r="H33" s="6" t="s">
        <v>159</v>
      </c>
      <c r="I33" s="6" t="s">
        <v>160</v>
      </c>
      <c r="J33" s="6" t="s">
        <v>38</v>
      </c>
      <c r="K33" s="6" t="s">
        <v>161</v>
      </c>
      <c r="L33" s="6" t="s">
        <v>40</v>
      </c>
      <c r="M33" s="6" t="s">
        <v>72</v>
      </c>
      <c r="N33" s="7" t="s">
        <v>81</v>
      </c>
      <c r="O33" s="7" t="s">
        <v>82</v>
      </c>
      <c r="P33" s="66">
        <v>7</v>
      </c>
      <c r="Q33" s="29">
        <f t="shared" si="0"/>
        <v>26666.666666666664</v>
      </c>
      <c r="R33" s="29">
        <f t="shared" si="1"/>
        <v>29600</v>
      </c>
      <c r="S33" s="36">
        <v>37000</v>
      </c>
      <c r="T33" s="66">
        <v>1</v>
      </c>
      <c r="U33" s="29">
        <f>(P33*Q33)-(P33*Q33*T33)</f>
        <v>0</v>
      </c>
      <c r="V33" s="29">
        <f t="shared" si="2"/>
        <v>0</v>
      </c>
      <c r="W33" s="66">
        <v>12</v>
      </c>
      <c r="X33" s="48">
        <f t="shared" si="3"/>
        <v>0</v>
      </c>
      <c r="Y33" s="29">
        <f>(P33*R33)-(P33*R33*T33)</f>
        <v>0</v>
      </c>
      <c r="Z33" s="66">
        <v>4980000.0000106003</v>
      </c>
      <c r="AA33" s="49">
        <f t="shared" si="4"/>
        <v>0</v>
      </c>
      <c r="AB33" s="72"/>
      <c r="AC33" s="67"/>
      <c r="AD33" s="67"/>
      <c r="AE33" s="67"/>
      <c r="AF33" s="68"/>
      <c r="AG33" s="67"/>
      <c r="AH33" s="67"/>
      <c r="AI33" s="69"/>
      <c r="AJ33" s="69"/>
      <c r="AK33" s="67"/>
      <c r="AL33" s="67"/>
      <c r="AM33" s="67"/>
      <c r="AN33" s="70"/>
    </row>
    <row r="34" spans="1:40" s="71" customFormat="1" ht="18" customHeight="1" x14ac:dyDescent="0.3">
      <c r="A34" s="64">
        <v>27</v>
      </c>
      <c r="B34" s="65">
        <v>46235</v>
      </c>
      <c r="C34" s="7" t="s">
        <v>166</v>
      </c>
      <c r="D34" s="7" t="s">
        <v>47</v>
      </c>
      <c r="E34" s="7" t="s">
        <v>48</v>
      </c>
      <c r="F34" s="7" t="s">
        <v>167</v>
      </c>
      <c r="G34" s="45" t="s">
        <v>50</v>
      </c>
      <c r="H34" s="6" t="s">
        <v>168</v>
      </c>
      <c r="I34" s="6" t="s">
        <v>143</v>
      </c>
      <c r="J34" s="6" t="s">
        <v>53</v>
      </c>
      <c r="K34" s="6" t="s">
        <v>169</v>
      </c>
      <c r="L34" s="6" t="s">
        <v>40</v>
      </c>
      <c r="M34" s="6" t="s">
        <v>55</v>
      </c>
      <c r="N34" s="7" t="s">
        <v>56</v>
      </c>
      <c r="O34" s="7" t="s">
        <v>57</v>
      </c>
      <c r="P34" s="66">
        <v>200</v>
      </c>
      <c r="Q34" s="29">
        <f t="shared" si="0"/>
        <v>87200</v>
      </c>
      <c r="R34" s="29">
        <f t="shared" si="1"/>
        <v>87200</v>
      </c>
      <c r="S34" s="36">
        <v>109000</v>
      </c>
      <c r="T34" s="66">
        <v>0</v>
      </c>
      <c r="U34" s="29">
        <f>(P34*Q34)-(P34*Q34*T34)</f>
        <v>17440000</v>
      </c>
      <c r="V34" s="29">
        <f t="shared" si="2"/>
        <v>15986666.666666666</v>
      </c>
      <c r="W34" s="66">
        <v>0</v>
      </c>
      <c r="X34" s="48">
        <f t="shared" si="3"/>
        <v>0</v>
      </c>
      <c r="Y34" s="29">
        <f>(P34*R34)-(P34*R34*T34)</f>
        <v>17440000</v>
      </c>
      <c r="Z34" s="66">
        <v>17440000</v>
      </c>
      <c r="AA34" s="49">
        <f t="shared" si="4"/>
        <v>21800000</v>
      </c>
      <c r="AB34" s="67"/>
      <c r="AC34" s="67"/>
      <c r="AD34" s="67"/>
      <c r="AE34" s="67"/>
      <c r="AF34" s="68"/>
      <c r="AG34" s="67"/>
      <c r="AH34" s="67"/>
      <c r="AI34" s="69"/>
      <c r="AJ34" s="69"/>
      <c r="AK34" s="67"/>
      <c r="AL34" s="67"/>
      <c r="AM34" s="67"/>
      <c r="AN34" s="70"/>
    </row>
    <row r="35" spans="1:40" s="71" customFormat="1" ht="18" customHeight="1" x14ac:dyDescent="0.3">
      <c r="A35" s="64">
        <v>28</v>
      </c>
      <c r="B35" s="65">
        <v>46235</v>
      </c>
      <c r="C35" s="7" t="s">
        <v>170</v>
      </c>
      <c r="D35" s="7" t="s">
        <v>171</v>
      </c>
      <c r="E35" s="7" t="s">
        <v>33</v>
      </c>
      <c r="F35" s="7" t="s">
        <v>172</v>
      </c>
      <c r="G35" s="45" t="s">
        <v>173</v>
      </c>
      <c r="H35" s="6" t="s">
        <v>174</v>
      </c>
      <c r="I35" s="6" t="s">
        <v>175</v>
      </c>
      <c r="J35" s="6" t="s">
        <v>38</v>
      </c>
      <c r="K35" s="6" t="s">
        <v>176</v>
      </c>
      <c r="L35" s="6" t="s">
        <v>40</v>
      </c>
      <c r="M35" s="6" t="s">
        <v>72</v>
      </c>
      <c r="N35" s="7" t="s">
        <v>177</v>
      </c>
      <c r="O35" s="7" t="s">
        <v>178</v>
      </c>
      <c r="P35" s="66">
        <v>50</v>
      </c>
      <c r="Q35" s="29">
        <f t="shared" si="0"/>
        <v>64144.144143999998</v>
      </c>
      <c r="R35" s="29">
        <f t="shared" si="1"/>
        <v>71199.999999840002</v>
      </c>
      <c r="S35" s="36">
        <v>88999.999999799998</v>
      </c>
      <c r="T35" s="66">
        <v>0</v>
      </c>
      <c r="U35" s="29">
        <f>(P35*Q35)-(P35*Q35*T35)</f>
        <v>3207207.2072000001</v>
      </c>
      <c r="V35" s="29">
        <f t="shared" si="2"/>
        <v>2939939.9399333331</v>
      </c>
      <c r="W35" s="66">
        <v>12</v>
      </c>
      <c r="X35" s="48">
        <f t="shared" si="3"/>
        <v>352792.79279199993</v>
      </c>
      <c r="Y35" s="29">
        <f>(P35*R35)-(P35*R35*T35)</f>
        <v>3559999.9999919999</v>
      </c>
      <c r="Z35" s="66">
        <v>3559999.9999919999</v>
      </c>
      <c r="AA35" s="49">
        <f t="shared" si="4"/>
        <v>4449999.9999899995</v>
      </c>
      <c r="AB35" s="67"/>
      <c r="AC35" s="67"/>
      <c r="AD35" s="67"/>
      <c r="AE35" s="67"/>
      <c r="AF35" s="68"/>
      <c r="AG35" s="67"/>
      <c r="AH35" s="67"/>
      <c r="AI35" s="69"/>
      <c r="AJ35" s="69"/>
      <c r="AK35" s="67"/>
      <c r="AL35" s="67"/>
      <c r="AM35" s="67"/>
      <c r="AN35" s="70"/>
    </row>
    <row r="36" spans="1:40" s="71" customFormat="1" ht="18" customHeight="1" x14ac:dyDescent="0.3">
      <c r="A36" s="64">
        <v>29</v>
      </c>
      <c r="B36" s="65">
        <v>46235</v>
      </c>
      <c r="C36" s="7" t="s">
        <v>179</v>
      </c>
      <c r="D36" s="7" t="s">
        <v>47</v>
      </c>
      <c r="E36" s="7" t="s">
        <v>48</v>
      </c>
      <c r="F36" s="7" t="s">
        <v>180</v>
      </c>
      <c r="G36" s="45" t="s">
        <v>50</v>
      </c>
      <c r="H36" s="6" t="s">
        <v>181</v>
      </c>
      <c r="I36" s="6" t="s">
        <v>182</v>
      </c>
      <c r="J36" s="6" t="s">
        <v>53</v>
      </c>
      <c r="K36" s="6" t="s">
        <v>183</v>
      </c>
      <c r="L36" s="6" t="s">
        <v>40</v>
      </c>
      <c r="M36" s="6" t="s">
        <v>55</v>
      </c>
      <c r="N36" s="7" t="s">
        <v>56</v>
      </c>
      <c r="O36" s="7" t="s">
        <v>57</v>
      </c>
      <c r="P36" s="66">
        <v>200</v>
      </c>
      <c r="Q36" s="29">
        <f t="shared" si="0"/>
        <v>87200</v>
      </c>
      <c r="R36" s="29">
        <f t="shared" si="1"/>
        <v>87200</v>
      </c>
      <c r="S36" s="36">
        <v>109000</v>
      </c>
      <c r="T36" s="66">
        <v>0</v>
      </c>
      <c r="U36" s="29">
        <f>(P36*Q36)-(P36*Q36*T36)</f>
        <v>17440000</v>
      </c>
      <c r="V36" s="29">
        <f t="shared" si="2"/>
        <v>15986666.666666666</v>
      </c>
      <c r="W36" s="66">
        <v>0</v>
      </c>
      <c r="X36" s="48">
        <f t="shared" si="3"/>
        <v>0</v>
      </c>
      <c r="Y36" s="29">
        <f>(P36*R36)-(P36*R36*T36)</f>
        <v>17440000</v>
      </c>
      <c r="Z36" s="66">
        <v>17440000</v>
      </c>
      <c r="AA36" s="49">
        <f t="shared" si="4"/>
        <v>21800000</v>
      </c>
      <c r="AB36" s="67"/>
      <c r="AC36" s="67"/>
      <c r="AD36" s="67"/>
      <c r="AE36" s="67"/>
      <c r="AF36" s="68"/>
      <c r="AG36" s="67"/>
      <c r="AH36" s="67"/>
      <c r="AI36" s="69"/>
      <c r="AJ36" s="69"/>
      <c r="AK36" s="67"/>
      <c r="AL36" s="67"/>
      <c r="AM36" s="67"/>
      <c r="AN36" s="70"/>
    </row>
    <row r="37" spans="1:40" s="71" customFormat="1" ht="18" customHeight="1" x14ac:dyDescent="0.3">
      <c r="A37" s="64">
        <v>30</v>
      </c>
      <c r="B37" s="65">
        <v>46235</v>
      </c>
      <c r="C37" s="7" t="s">
        <v>184</v>
      </c>
      <c r="D37" s="7" t="s">
        <v>47</v>
      </c>
      <c r="E37" s="7" t="s">
        <v>48</v>
      </c>
      <c r="F37" s="7" t="s">
        <v>185</v>
      </c>
      <c r="G37" s="45" t="s">
        <v>50</v>
      </c>
      <c r="H37" s="6" t="s">
        <v>186</v>
      </c>
      <c r="I37" s="6" t="s">
        <v>187</v>
      </c>
      <c r="J37" s="6" t="s">
        <v>53</v>
      </c>
      <c r="K37" s="6" t="s">
        <v>188</v>
      </c>
      <c r="L37" s="6" t="s">
        <v>40</v>
      </c>
      <c r="M37" s="6" t="s">
        <v>55</v>
      </c>
      <c r="N37" s="7" t="s">
        <v>56</v>
      </c>
      <c r="O37" s="7" t="s">
        <v>57</v>
      </c>
      <c r="P37" s="66">
        <v>200</v>
      </c>
      <c r="Q37" s="29">
        <f t="shared" si="0"/>
        <v>87200</v>
      </c>
      <c r="R37" s="29">
        <f t="shared" si="1"/>
        <v>87200</v>
      </c>
      <c r="S37" s="36">
        <v>109000</v>
      </c>
      <c r="T37" s="66">
        <v>0</v>
      </c>
      <c r="U37" s="29">
        <f>(P37*Q37)-(P37*Q37*T37)</f>
        <v>17440000</v>
      </c>
      <c r="V37" s="29">
        <f t="shared" si="2"/>
        <v>15986666.666666666</v>
      </c>
      <c r="W37" s="66">
        <v>0</v>
      </c>
      <c r="X37" s="48">
        <f t="shared" si="3"/>
        <v>0</v>
      </c>
      <c r="Y37" s="29">
        <f>(P37*R37)-(P37*R37*T37)</f>
        <v>17440000</v>
      </c>
      <c r="Z37" s="66">
        <v>17440000</v>
      </c>
      <c r="AA37" s="49">
        <f t="shared" si="4"/>
        <v>21800000</v>
      </c>
      <c r="AB37" s="67"/>
      <c r="AC37" s="67"/>
      <c r="AD37" s="67"/>
      <c r="AE37" s="67"/>
      <c r="AF37" s="68"/>
      <c r="AG37" s="67"/>
      <c r="AH37" s="67"/>
      <c r="AI37" s="69"/>
      <c r="AJ37" s="69"/>
      <c r="AK37" s="67"/>
      <c r="AL37" s="67"/>
      <c r="AM37" s="67"/>
      <c r="AN37" s="70"/>
    </row>
    <row r="38" spans="1:40" s="71" customFormat="1" ht="18" customHeight="1" x14ac:dyDescent="0.3">
      <c r="A38" s="64">
        <v>31</v>
      </c>
      <c r="B38" s="65">
        <v>46235</v>
      </c>
      <c r="C38" s="7" t="s">
        <v>189</v>
      </c>
      <c r="D38" s="7" t="s">
        <v>190</v>
      </c>
      <c r="E38" s="7" t="s">
        <v>33</v>
      </c>
      <c r="F38" s="7" t="s">
        <v>191</v>
      </c>
      <c r="G38" s="45" t="s">
        <v>148</v>
      </c>
      <c r="H38" s="6" t="s">
        <v>192</v>
      </c>
      <c r="I38" s="6" t="s">
        <v>193</v>
      </c>
      <c r="J38" s="6" t="s">
        <v>38</v>
      </c>
      <c r="K38" s="6" t="s">
        <v>194</v>
      </c>
      <c r="L38" s="6" t="s">
        <v>40</v>
      </c>
      <c r="M38" s="6" t="s">
        <v>55</v>
      </c>
      <c r="N38" s="7" t="s">
        <v>195</v>
      </c>
      <c r="O38" s="7" t="s">
        <v>196</v>
      </c>
      <c r="P38" s="66">
        <v>20</v>
      </c>
      <c r="Q38" s="29">
        <f t="shared" si="0"/>
        <v>62400</v>
      </c>
      <c r="R38" s="29">
        <f t="shared" si="1"/>
        <v>62400</v>
      </c>
      <c r="S38" s="36">
        <v>78000</v>
      </c>
      <c r="T38" s="66">
        <v>0</v>
      </c>
      <c r="U38" s="29">
        <f>(P38*Q38)-(P38*Q38*T38)</f>
        <v>1248000</v>
      </c>
      <c r="V38" s="29">
        <f t="shared" si="2"/>
        <v>1144000</v>
      </c>
      <c r="W38" s="66">
        <v>0</v>
      </c>
      <c r="X38" s="48">
        <f t="shared" si="3"/>
        <v>0</v>
      </c>
      <c r="Y38" s="29">
        <f>(P38*R38)-(P38*R38*T38)</f>
        <v>1248000</v>
      </c>
      <c r="Z38" s="66">
        <v>3744000</v>
      </c>
      <c r="AA38" s="49">
        <f t="shared" si="4"/>
        <v>1560000</v>
      </c>
      <c r="AB38" s="67"/>
      <c r="AC38" s="67"/>
      <c r="AD38" s="67"/>
      <c r="AE38" s="67"/>
      <c r="AF38" s="68"/>
      <c r="AG38" s="67"/>
      <c r="AH38" s="67"/>
      <c r="AI38" s="69"/>
      <c r="AJ38" s="69"/>
      <c r="AK38" s="67"/>
      <c r="AL38" s="67"/>
      <c r="AM38" s="67"/>
      <c r="AN38" s="70"/>
    </row>
    <row r="39" spans="1:40" s="71" customFormat="1" ht="18" customHeight="1" x14ac:dyDescent="0.3">
      <c r="A39" s="64">
        <v>32</v>
      </c>
      <c r="B39" s="65">
        <v>46235</v>
      </c>
      <c r="C39" s="7" t="s">
        <v>189</v>
      </c>
      <c r="D39" s="7" t="s">
        <v>190</v>
      </c>
      <c r="E39" s="7" t="s">
        <v>33</v>
      </c>
      <c r="F39" s="7" t="s">
        <v>191</v>
      </c>
      <c r="G39" s="45" t="s">
        <v>148</v>
      </c>
      <c r="H39" s="6" t="s">
        <v>192</v>
      </c>
      <c r="I39" s="6" t="s">
        <v>193</v>
      </c>
      <c r="J39" s="6" t="s">
        <v>38</v>
      </c>
      <c r="K39" s="6" t="s">
        <v>194</v>
      </c>
      <c r="L39" s="6" t="s">
        <v>40</v>
      </c>
      <c r="M39" s="6" t="s">
        <v>55</v>
      </c>
      <c r="N39" s="7" t="s">
        <v>195</v>
      </c>
      <c r="O39" s="7" t="s">
        <v>196</v>
      </c>
      <c r="P39" s="66">
        <v>40</v>
      </c>
      <c r="Q39" s="29">
        <f t="shared" si="0"/>
        <v>62400</v>
      </c>
      <c r="R39" s="29">
        <f t="shared" si="1"/>
        <v>62400</v>
      </c>
      <c r="S39" s="36">
        <v>78000</v>
      </c>
      <c r="T39" s="66">
        <v>0</v>
      </c>
      <c r="U39" s="29">
        <f>(P39*Q39)-(P39*Q39*T39)</f>
        <v>2496000</v>
      </c>
      <c r="V39" s="29">
        <f t="shared" si="2"/>
        <v>2288000</v>
      </c>
      <c r="W39" s="66">
        <v>0</v>
      </c>
      <c r="X39" s="48">
        <f t="shared" si="3"/>
        <v>0</v>
      </c>
      <c r="Y39" s="29">
        <f>(P39*R39)-(P39*R39*T39)</f>
        <v>2496000</v>
      </c>
      <c r="Z39" s="66">
        <v>3744000</v>
      </c>
      <c r="AA39" s="49">
        <f t="shared" si="4"/>
        <v>3120000</v>
      </c>
      <c r="AB39" s="67"/>
      <c r="AC39" s="67"/>
      <c r="AD39" s="67"/>
      <c r="AE39" s="67"/>
      <c r="AF39" s="68"/>
      <c r="AG39" s="67"/>
      <c r="AH39" s="67"/>
      <c r="AI39" s="69"/>
      <c r="AJ39" s="69"/>
      <c r="AK39" s="67"/>
      <c r="AL39" s="67"/>
      <c r="AM39" s="67"/>
      <c r="AN39" s="70"/>
    </row>
    <row r="40" spans="1:40" s="71" customFormat="1" ht="18" customHeight="1" x14ac:dyDescent="0.3">
      <c r="A40" s="64">
        <v>33</v>
      </c>
      <c r="B40" s="65">
        <v>46235</v>
      </c>
      <c r="C40" s="7" t="s">
        <v>197</v>
      </c>
      <c r="D40" s="7" t="s">
        <v>47</v>
      </c>
      <c r="E40" s="7" t="s">
        <v>48</v>
      </c>
      <c r="F40" s="7" t="s">
        <v>198</v>
      </c>
      <c r="G40" s="45" t="s">
        <v>50</v>
      </c>
      <c r="H40" s="6" t="s">
        <v>199</v>
      </c>
      <c r="I40" s="6" t="s">
        <v>200</v>
      </c>
      <c r="J40" s="6" t="s">
        <v>53</v>
      </c>
      <c r="K40" s="6" t="s">
        <v>201</v>
      </c>
      <c r="L40" s="6" t="s">
        <v>40</v>
      </c>
      <c r="M40" s="6" t="s">
        <v>55</v>
      </c>
      <c r="N40" s="7" t="s">
        <v>56</v>
      </c>
      <c r="O40" s="7" t="s">
        <v>57</v>
      </c>
      <c r="P40" s="66">
        <v>200</v>
      </c>
      <c r="Q40" s="29">
        <f t="shared" si="0"/>
        <v>87200</v>
      </c>
      <c r="R40" s="29">
        <f t="shared" si="1"/>
        <v>87200</v>
      </c>
      <c r="S40" s="36">
        <v>109000</v>
      </c>
      <c r="T40" s="66">
        <v>0</v>
      </c>
      <c r="U40" s="29">
        <f>(P40*Q40)-(P40*Q40*T40)</f>
        <v>17440000</v>
      </c>
      <c r="V40" s="29">
        <f t="shared" si="2"/>
        <v>15986666.666666666</v>
      </c>
      <c r="W40" s="66">
        <v>0</v>
      </c>
      <c r="X40" s="48">
        <f t="shared" si="3"/>
        <v>0</v>
      </c>
      <c r="Y40" s="29">
        <f>(P40*R40)-(P40*R40*T40)</f>
        <v>17440000</v>
      </c>
      <c r="Z40" s="66">
        <v>17440000</v>
      </c>
      <c r="AA40" s="49">
        <f t="shared" si="4"/>
        <v>21800000</v>
      </c>
      <c r="AB40" s="67"/>
      <c r="AC40" s="67"/>
      <c r="AD40" s="67"/>
      <c r="AE40" s="67"/>
      <c r="AF40" s="68"/>
      <c r="AG40" s="67"/>
      <c r="AH40" s="67"/>
      <c r="AI40" s="69"/>
      <c r="AJ40" s="69"/>
      <c r="AK40" s="67"/>
      <c r="AL40" s="67"/>
      <c r="AM40" s="67"/>
      <c r="AN40" s="70"/>
    </row>
    <row r="41" spans="1:40" s="71" customFormat="1" ht="18" customHeight="1" x14ac:dyDescent="0.3">
      <c r="A41" s="64">
        <v>34</v>
      </c>
      <c r="B41" s="65">
        <v>46235</v>
      </c>
      <c r="C41" s="7" t="s">
        <v>202</v>
      </c>
      <c r="D41" s="7" t="s">
        <v>203</v>
      </c>
      <c r="E41" s="7" t="s">
        <v>33</v>
      </c>
      <c r="F41" s="7" t="s">
        <v>204</v>
      </c>
      <c r="G41" s="45" t="s">
        <v>205</v>
      </c>
      <c r="H41" s="6" t="s">
        <v>206</v>
      </c>
      <c r="I41" s="6" t="s">
        <v>207</v>
      </c>
      <c r="J41" s="6" t="s">
        <v>38</v>
      </c>
      <c r="K41" s="6" t="s">
        <v>208</v>
      </c>
      <c r="L41" s="6" t="s">
        <v>40</v>
      </c>
      <c r="M41" s="6" t="s">
        <v>72</v>
      </c>
      <c r="N41" s="7" t="s">
        <v>209</v>
      </c>
      <c r="O41" s="7" t="s">
        <v>210</v>
      </c>
      <c r="P41" s="66">
        <v>40</v>
      </c>
      <c r="Q41" s="29">
        <f t="shared" si="0"/>
        <v>67027.027027000004</v>
      </c>
      <c r="R41" s="29">
        <f t="shared" si="1"/>
        <v>74399.999999970009</v>
      </c>
      <c r="S41" s="36">
        <v>92999.9999999625</v>
      </c>
      <c r="T41" s="66">
        <v>0</v>
      </c>
      <c r="U41" s="29">
        <f>(P41*Q41)-(P41*Q41*T41)</f>
        <v>2681081.0810799999</v>
      </c>
      <c r="V41" s="29">
        <f t="shared" si="2"/>
        <v>2457657.6576566664</v>
      </c>
      <c r="W41" s="66">
        <v>12</v>
      </c>
      <c r="X41" s="48">
        <f t="shared" si="3"/>
        <v>294918.91891879996</v>
      </c>
      <c r="Y41" s="29">
        <f>(P41*R41)-(P41*R41*T41)</f>
        <v>2975999.9999988005</v>
      </c>
      <c r="Z41" s="66">
        <v>6015999.9999780003</v>
      </c>
      <c r="AA41" s="49">
        <f t="shared" si="4"/>
        <v>3719999.9999985006</v>
      </c>
      <c r="AB41" s="67"/>
      <c r="AC41" s="67"/>
      <c r="AD41" s="67"/>
      <c r="AE41" s="67"/>
      <c r="AF41" s="68"/>
      <c r="AG41" s="67"/>
      <c r="AH41" s="67"/>
      <c r="AI41" s="69"/>
      <c r="AJ41" s="69"/>
      <c r="AK41" s="67"/>
      <c r="AL41" s="67"/>
      <c r="AM41" s="67"/>
      <c r="AN41" s="70"/>
    </row>
    <row r="42" spans="1:40" s="71" customFormat="1" ht="18" customHeight="1" x14ac:dyDescent="0.3">
      <c r="A42" s="64">
        <v>35</v>
      </c>
      <c r="B42" s="65">
        <v>46235</v>
      </c>
      <c r="C42" s="7" t="s">
        <v>202</v>
      </c>
      <c r="D42" s="7" t="s">
        <v>203</v>
      </c>
      <c r="E42" s="7" t="s">
        <v>33</v>
      </c>
      <c r="F42" s="7" t="s">
        <v>204</v>
      </c>
      <c r="G42" s="45" t="s">
        <v>205</v>
      </c>
      <c r="H42" s="6" t="s">
        <v>206</v>
      </c>
      <c r="I42" s="6" t="s">
        <v>207</v>
      </c>
      <c r="J42" s="6" t="s">
        <v>38</v>
      </c>
      <c r="K42" s="6" t="s">
        <v>208</v>
      </c>
      <c r="L42" s="6" t="s">
        <v>40</v>
      </c>
      <c r="M42" s="6" t="s">
        <v>72</v>
      </c>
      <c r="N42" s="7" t="s">
        <v>211</v>
      </c>
      <c r="O42" s="7" t="s">
        <v>212</v>
      </c>
      <c r="P42" s="66">
        <v>80</v>
      </c>
      <c r="Q42" s="29">
        <f t="shared" si="0"/>
        <v>34234.234234000003</v>
      </c>
      <c r="R42" s="29">
        <f t="shared" si="1"/>
        <v>37999.999999740008</v>
      </c>
      <c r="S42" s="36">
        <v>47499.999999675012</v>
      </c>
      <c r="T42" s="66">
        <v>0</v>
      </c>
      <c r="U42" s="29">
        <f>(P42*Q42)-(P42*Q42*T42)</f>
        <v>2738738.7387200003</v>
      </c>
      <c r="V42" s="29">
        <f t="shared" si="2"/>
        <v>2510510.5104933335</v>
      </c>
      <c r="W42" s="66">
        <v>12</v>
      </c>
      <c r="X42" s="48">
        <f t="shared" si="3"/>
        <v>301261.26125919999</v>
      </c>
      <c r="Y42" s="29">
        <f>(P42*R42)-(P42*R42*T42)</f>
        <v>3039999.9999792008</v>
      </c>
      <c r="Z42" s="66">
        <v>6015999.9999780003</v>
      </c>
      <c r="AA42" s="49">
        <f t="shared" si="4"/>
        <v>3799999.9999740007</v>
      </c>
      <c r="AB42" s="67"/>
      <c r="AC42" s="67"/>
      <c r="AD42" s="67"/>
      <c r="AE42" s="67"/>
      <c r="AF42" s="68"/>
      <c r="AG42" s="67"/>
      <c r="AH42" s="67"/>
      <c r="AI42" s="69"/>
      <c r="AJ42" s="69"/>
      <c r="AK42" s="67"/>
      <c r="AL42" s="67"/>
      <c r="AM42" s="67"/>
      <c r="AN42" s="70"/>
    </row>
    <row r="43" spans="1:40" s="71" customFormat="1" ht="18" customHeight="1" x14ac:dyDescent="0.3">
      <c r="A43" s="64">
        <v>36</v>
      </c>
      <c r="B43" s="65">
        <v>46235</v>
      </c>
      <c r="C43" s="7" t="s">
        <v>202</v>
      </c>
      <c r="D43" s="7" t="s">
        <v>213</v>
      </c>
      <c r="E43" s="7" t="s">
        <v>33</v>
      </c>
      <c r="F43" s="7" t="s">
        <v>204</v>
      </c>
      <c r="G43" s="45" t="s">
        <v>205</v>
      </c>
      <c r="H43" s="6" t="s">
        <v>206</v>
      </c>
      <c r="I43" s="6" t="s">
        <v>207</v>
      </c>
      <c r="J43" s="6" t="s">
        <v>38</v>
      </c>
      <c r="K43" s="6" t="s">
        <v>208</v>
      </c>
      <c r="L43" s="6" t="s">
        <v>40</v>
      </c>
      <c r="M43" s="6" t="s">
        <v>214</v>
      </c>
      <c r="N43" s="7" t="s">
        <v>215</v>
      </c>
      <c r="O43" s="7" t="s">
        <v>216</v>
      </c>
      <c r="P43" s="66">
        <v>2</v>
      </c>
      <c r="Q43" s="29">
        <f>IF(W43=0,R43,R43/1.11)</f>
        <v>288288.28828828828</v>
      </c>
      <c r="R43" s="29">
        <f t="shared" si="1"/>
        <v>320000</v>
      </c>
      <c r="S43" s="36">
        <v>400000</v>
      </c>
      <c r="T43" s="66">
        <v>1</v>
      </c>
      <c r="U43" s="29">
        <f>(P43*Q43)-(P43*Q43*T43)</f>
        <v>0</v>
      </c>
      <c r="V43" s="29">
        <f t="shared" si="2"/>
        <v>0</v>
      </c>
      <c r="W43" s="66">
        <v>12</v>
      </c>
      <c r="X43" s="48">
        <f t="shared" si="3"/>
        <v>0</v>
      </c>
      <c r="Y43" s="29">
        <f>(P43*R43)-(P43*R43*T43)</f>
        <v>0</v>
      </c>
      <c r="Z43" s="66">
        <v>6015999.9999780003</v>
      </c>
      <c r="AA43" s="49">
        <f>Y43/0.8</f>
        <v>0</v>
      </c>
      <c r="AB43" s="72"/>
      <c r="AC43" s="67"/>
      <c r="AD43" s="67"/>
      <c r="AE43" s="67"/>
      <c r="AF43" s="68"/>
      <c r="AG43" s="67"/>
      <c r="AH43" s="67"/>
      <c r="AI43" s="69"/>
      <c r="AJ43" s="69"/>
      <c r="AK43" s="67"/>
      <c r="AL43" s="67"/>
      <c r="AM43" s="67"/>
      <c r="AN43" s="70"/>
    </row>
    <row r="44" spans="1:40" s="71" customFormat="1" ht="18" customHeight="1" x14ac:dyDescent="0.3">
      <c r="A44" s="64">
        <v>37</v>
      </c>
      <c r="B44" s="65">
        <v>46235</v>
      </c>
      <c r="C44" s="7" t="s">
        <v>217</v>
      </c>
      <c r="D44" s="7" t="s">
        <v>47</v>
      </c>
      <c r="E44" s="7" t="s">
        <v>48</v>
      </c>
      <c r="F44" s="7" t="s">
        <v>218</v>
      </c>
      <c r="G44" s="45" t="s">
        <v>50</v>
      </c>
      <c r="H44" s="6" t="s">
        <v>219</v>
      </c>
      <c r="I44" s="6" t="s">
        <v>200</v>
      </c>
      <c r="J44" s="6" t="s">
        <v>53</v>
      </c>
      <c r="K44" s="6" t="s">
        <v>220</v>
      </c>
      <c r="L44" s="6" t="s">
        <v>40</v>
      </c>
      <c r="M44" s="6" t="s">
        <v>55</v>
      </c>
      <c r="N44" s="7" t="s">
        <v>56</v>
      </c>
      <c r="O44" s="7" t="s">
        <v>57</v>
      </c>
      <c r="P44" s="66">
        <v>200</v>
      </c>
      <c r="Q44" s="29">
        <f t="shared" si="0"/>
        <v>87200</v>
      </c>
      <c r="R44" s="29">
        <f t="shared" si="1"/>
        <v>87200</v>
      </c>
      <c r="S44" s="36">
        <v>109000</v>
      </c>
      <c r="T44" s="66">
        <v>0</v>
      </c>
      <c r="U44" s="29">
        <f>(P44*Q44)-(P44*Q44*T44)</f>
        <v>17440000</v>
      </c>
      <c r="V44" s="29">
        <f t="shared" si="2"/>
        <v>15986666.666666666</v>
      </c>
      <c r="W44" s="66">
        <v>0</v>
      </c>
      <c r="X44" s="48">
        <f t="shared" si="3"/>
        <v>0</v>
      </c>
      <c r="Y44" s="29">
        <f>(P44*R44)-(P44*R44*T44)</f>
        <v>17440000</v>
      </c>
      <c r="Z44" s="66">
        <v>17440000</v>
      </c>
      <c r="AA44" s="49">
        <f t="shared" si="4"/>
        <v>21800000</v>
      </c>
      <c r="AB44" s="67"/>
      <c r="AC44" s="67"/>
      <c r="AD44" s="67"/>
      <c r="AE44" s="67"/>
      <c r="AF44" s="68"/>
      <c r="AG44" s="67"/>
      <c r="AH44" s="67"/>
      <c r="AI44" s="69"/>
      <c r="AJ44" s="69"/>
      <c r="AK44" s="67"/>
      <c r="AL44" s="67"/>
      <c r="AM44" s="67"/>
      <c r="AN44" s="70"/>
    </row>
    <row r="45" spans="1:40" s="71" customFormat="1" ht="18" customHeight="1" x14ac:dyDescent="0.3">
      <c r="A45" s="64">
        <v>38</v>
      </c>
      <c r="B45" s="65">
        <v>46237</v>
      </c>
      <c r="C45" s="7" t="s">
        <v>221</v>
      </c>
      <c r="D45" s="7" t="s">
        <v>222</v>
      </c>
      <c r="E45" s="7" t="s">
        <v>48</v>
      </c>
      <c r="F45" s="7" t="s">
        <v>223</v>
      </c>
      <c r="G45" s="45" t="s">
        <v>224</v>
      </c>
      <c r="H45" s="6" t="s">
        <v>225</v>
      </c>
      <c r="I45" s="6" t="s">
        <v>226</v>
      </c>
      <c r="J45" s="6" t="s">
        <v>227</v>
      </c>
      <c r="K45" s="6" t="s">
        <v>228</v>
      </c>
      <c r="L45" s="6" t="s">
        <v>40</v>
      </c>
      <c r="M45" s="6" t="s">
        <v>102</v>
      </c>
      <c r="N45" s="7" t="s">
        <v>229</v>
      </c>
      <c r="O45" s="7" t="s">
        <v>230</v>
      </c>
      <c r="P45" s="66">
        <v>100</v>
      </c>
      <c r="Q45" s="29">
        <f t="shared" si="0"/>
        <v>37117.117117000002</v>
      </c>
      <c r="R45" s="29">
        <f t="shared" si="1"/>
        <v>41199.999999870008</v>
      </c>
      <c r="S45" s="36">
        <v>51499.999999837506</v>
      </c>
      <c r="T45" s="66">
        <v>0</v>
      </c>
      <c r="U45" s="29">
        <f>(P45*Q45)-(P45*Q45*T45)</f>
        <v>3711711.7117000003</v>
      </c>
      <c r="V45" s="29">
        <f t="shared" si="2"/>
        <v>3402402.402391667</v>
      </c>
      <c r="W45" s="66">
        <v>12</v>
      </c>
      <c r="X45" s="48">
        <f t="shared" si="3"/>
        <v>408288.28828700003</v>
      </c>
      <c r="Y45" s="29">
        <f>(P45*R45)-(P45*R45*T45)</f>
        <v>4119999.9999870006</v>
      </c>
      <c r="Z45" s="66">
        <v>13303999.999572</v>
      </c>
      <c r="AA45" s="49">
        <f t="shared" si="4"/>
        <v>5149999.9999837503</v>
      </c>
      <c r="AB45" s="67"/>
      <c r="AC45" s="67"/>
      <c r="AD45" s="67"/>
      <c r="AE45" s="67"/>
      <c r="AF45" s="68"/>
      <c r="AG45" s="67"/>
      <c r="AH45" s="67"/>
      <c r="AI45" s="69"/>
      <c r="AJ45" s="69"/>
      <c r="AK45" s="67"/>
      <c r="AL45" s="67"/>
      <c r="AM45" s="67"/>
      <c r="AN45" s="70"/>
    </row>
    <row r="46" spans="1:40" s="71" customFormat="1" ht="18" customHeight="1" x14ac:dyDescent="0.3">
      <c r="A46" s="64">
        <v>39</v>
      </c>
      <c r="B46" s="65">
        <v>46237</v>
      </c>
      <c r="C46" s="7" t="s">
        <v>221</v>
      </c>
      <c r="D46" s="7" t="s">
        <v>222</v>
      </c>
      <c r="E46" s="7" t="s">
        <v>48</v>
      </c>
      <c r="F46" s="7" t="s">
        <v>223</v>
      </c>
      <c r="G46" s="45" t="s">
        <v>224</v>
      </c>
      <c r="H46" s="6" t="s">
        <v>225</v>
      </c>
      <c r="I46" s="6" t="s">
        <v>226</v>
      </c>
      <c r="J46" s="6" t="s">
        <v>227</v>
      </c>
      <c r="K46" s="6" t="s">
        <v>228</v>
      </c>
      <c r="L46" s="6" t="s">
        <v>40</v>
      </c>
      <c r="M46" s="6" t="s">
        <v>102</v>
      </c>
      <c r="N46" s="7" t="s">
        <v>231</v>
      </c>
      <c r="O46" s="7" t="s">
        <v>232</v>
      </c>
      <c r="P46" s="66">
        <v>100</v>
      </c>
      <c r="Q46" s="29">
        <f t="shared" si="0"/>
        <v>14270.270269999999</v>
      </c>
      <c r="R46" s="29">
        <f t="shared" si="1"/>
        <v>15839.999999700001</v>
      </c>
      <c r="S46" s="36">
        <v>19799.999999625001</v>
      </c>
      <c r="T46" s="66">
        <v>0</v>
      </c>
      <c r="U46" s="29">
        <f>(P46*Q46)-(P46*Q46*T46)</f>
        <v>1427027.027</v>
      </c>
      <c r="V46" s="29">
        <f t="shared" si="2"/>
        <v>1308108.1080833334</v>
      </c>
      <c r="W46" s="66">
        <v>12</v>
      </c>
      <c r="X46" s="48">
        <f t="shared" si="3"/>
        <v>156972.97297</v>
      </c>
      <c r="Y46" s="29">
        <f>(P46*R46)-(P46*R46*T46)</f>
        <v>1583999.9999700002</v>
      </c>
      <c r="Z46" s="66">
        <v>13303999.999572</v>
      </c>
      <c r="AA46" s="49">
        <f t="shared" si="4"/>
        <v>1979999.9999625003</v>
      </c>
      <c r="AB46" s="67"/>
      <c r="AC46" s="67"/>
      <c r="AD46" s="67"/>
      <c r="AE46" s="67"/>
      <c r="AF46" s="68"/>
      <c r="AG46" s="67"/>
      <c r="AH46" s="67"/>
      <c r="AI46" s="69"/>
      <c r="AJ46" s="69"/>
      <c r="AK46" s="67"/>
      <c r="AL46" s="67"/>
      <c r="AM46" s="67"/>
      <c r="AN46" s="70"/>
    </row>
    <row r="47" spans="1:40" s="71" customFormat="1" ht="18" customHeight="1" x14ac:dyDescent="0.3">
      <c r="A47" s="64">
        <v>40</v>
      </c>
      <c r="B47" s="65">
        <v>46237</v>
      </c>
      <c r="C47" s="7" t="s">
        <v>221</v>
      </c>
      <c r="D47" s="7" t="s">
        <v>222</v>
      </c>
      <c r="E47" s="7" t="s">
        <v>48</v>
      </c>
      <c r="F47" s="7" t="s">
        <v>223</v>
      </c>
      <c r="G47" s="45" t="s">
        <v>224</v>
      </c>
      <c r="H47" s="6" t="s">
        <v>225</v>
      </c>
      <c r="I47" s="6" t="s">
        <v>226</v>
      </c>
      <c r="J47" s="6" t="s">
        <v>227</v>
      </c>
      <c r="K47" s="6" t="s">
        <v>228</v>
      </c>
      <c r="L47" s="6" t="s">
        <v>40</v>
      </c>
      <c r="M47" s="6" t="s">
        <v>72</v>
      </c>
      <c r="N47" s="7" t="s">
        <v>233</v>
      </c>
      <c r="O47" s="7" t="s">
        <v>234</v>
      </c>
      <c r="P47" s="66">
        <v>500</v>
      </c>
      <c r="Q47" s="29">
        <f t="shared" si="0"/>
        <v>13693.693692999999</v>
      </c>
      <c r="R47" s="29">
        <f t="shared" si="1"/>
        <v>15199.99999923</v>
      </c>
      <c r="S47" s="36">
        <v>18999.9999990375</v>
      </c>
      <c r="T47" s="66">
        <v>0</v>
      </c>
      <c r="U47" s="29">
        <f>(P47*Q47)-(P47*Q47*T47)</f>
        <v>6846846.8465</v>
      </c>
      <c r="V47" s="29">
        <f t="shared" si="2"/>
        <v>6276276.2759583332</v>
      </c>
      <c r="W47" s="66">
        <v>12</v>
      </c>
      <c r="X47" s="48">
        <f t="shared" si="3"/>
        <v>753153.15311499999</v>
      </c>
      <c r="Y47" s="29">
        <f>(P47*R47)-(P47*R47*T47)</f>
        <v>7599999.9996149996</v>
      </c>
      <c r="Z47" s="66">
        <v>13303999.999572</v>
      </c>
      <c r="AA47" s="49">
        <f t="shared" si="4"/>
        <v>9499999.9995187484</v>
      </c>
      <c r="AB47" s="67"/>
      <c r="AC47" s="67"/>
      <c r="AD47" s="67"/>
      <c r="AE47" s="67"/>
      <c r="AF47" s="68"/>
      <c r="AG47" s="67"/>
      <c r="AH47" s="67"/>
      <c r="AI47" s="69"/>
      <c r="AJ47" s="69"/>
      <c r="AK47" s="67"/>
      <c r="AL47" s="67"/>
      <c r="AM47" s="67"/>
      <c r="AN47" s="70"/>
    </row>
    <row r="48" spans="1:40" s="71" customFormat="1" ht="18" customHeight="1" x14ac:dyDescent="0.3">
      <c r="A48" s="64">
        <v>41</v>
      </c>
      <c r="B48" s="65">
        <v>46237</v>
      </c>
      <c r="C48" s="7" t="s">
        <v>221</v>
      </c>
      <c r="D48" s="7" t="s">
        <v>235</v>
      </c>
      <c r="E48" s="7" t="s">
        <v>48</v>
      </c>
      <c r="F48" s="7" t="s">
        <v>223</v>
      </c>
      <c r="G48" s="45" t="s">
        <v>224</v>
      </c>
      <c r="H48" s="6" t="s">
        <v>225</v>
      </c>
      <c r="I48" s="6" t="s">
        <v>226</v>
      </c>
      <c r="J48" s="6" t="s">
        <v>227</v>
      </c>
      <c r="K48" s="6" t="s">
        <v>228</v>
      </c>
      <c r="L48" s="6" t="s">
        <v>40</v>
      </c>
      <c r="M48" s="6" t="s">
        <v>72</v>
      </c>
      <c r="N48" s="7" t="s">
        <v>81</v>
      </c>
      <c r="O48" s="7" t="s">
        <v>82</v>
      </c>
      <c r="P48" s="66">
        <v>5</v>
      </c>
      <c r="Q48" s="29">
        <f>IF(W48=0,R48,R48/1.11)</f>
        <v>26666.666666666664</v>
      </c>
      <c r="R48" s="29">
        <f t="shared" si="1"/>
        <v>29600</v>
      </c>
      <c r="S48" s="36">
        <v>37000</v>
      </c>
      <c r="T48" s="66">
        <v>1</v>
      </c>
      <c r="U48" s="29">
        <f>(P48*Q48)-(P48*Q48*T48)</f>
        <v>0</v>
      </c>
      <c r="V48" s="29">
        <f t="shared" si="2"/>
        <v>0</v>
      </c>
      <c r="W48" s="66">
        <v>12</v>
      </c>
      <c r="X48" s="48">
        <f t="shared" si="3"/>
        <v>0</v>
      </c>
      <c r="Y48" s="29">
        <f>(P48*R48)-(P48*R48*T48)</f>
        <v>0</v>
      </c>
      <c r="Z48" s="66">
        <v>13303999.999572</v>
      </c>
      <c r="AA48" s="49">
        <f>Y48/0.8</f>
        <v>0</v>
      </c>
      <c r="AB48" s="72"/>
      <c r="AC48" s="67"/>
      <c r="AD48" s="67"/>
      <c r="AE48" s="67"/>
      <c r="AF48" s="68"/>
      <c r="AG48" s="67"/>
      <c r="AH48" s="67"/>
      <c r="AI48" s="69"/>
      <c r="AJ48" s="69"/>
      <c r="AK48" s="67"/>
      <c r="AL48" s="67"/>
      <c r="AM48" s="67"/>
      <c r="AN48" s="70"/>
    </row>
    <row r="49" spans="1:40" s="71" customFormat="1" ht="18" customHeight="1" x14ac:dyDescent="0.3">
      <c r="A49" s="64">
        <v>42</v>
      </c>
      <c r="B49" s="65">
        <v>46237</v>
      </c>
      <c r="C49" s="7" t="s">
        <v>236</v>
      </c>
      <c r="D49" s="7" t="s">
        <v>237</v>
      </c>
      <c r="E49" s="7" t="s">
        <v>238</v>
      </c>
      <c r="F49" s="7" t="s">
        <v>239</v>
      </c>
      <c r="G49" s="45" t="s">
        <v>240</v>
      </c>
      <c r="H49" s="6" t="s">
        <v>241</v>
      </c>
      <c r="I49" s="6" t="s">
        <v>242</v>
      </c>
      <c r="J49" s="6" t="s">
        <v>243</v>
      </c>
      <c r="K49" s="6" t="s">
        <v>244</v>
      </c>
      <c r="L49" s="6" t="s">
        <v>40</v>
      </c>
      <c r="M49" s="6" t="s">
        <v>214</v>
      </c>
      <c r="N49" s="7" t="s">
        <v>215</v>
      </c>
      <c r="O49" s="7" t="s">
        <v>216</v>
      </c>
      <c r="P49" s="66">
        <v>1</v>
      </c>
      <c r="Q49" s="29">
        <f t="shared" si="0"/>
        <v>288288.28828799992</v>
      </c>
      <c r="R49" s="29">
        <f t="shared" si="1"/>
        <v>319999.99999967997</v>
      </c>
      <c r="S49" s="36">
        <v>399999.99999959994</v>
      </c>
      <c r="T49" s="66">
        <v>1</v>
      </c>
      <c r="U49" s="29">
        <f>(P49*Q49)-(P49*Q49*T49)</f>
        <v>0</v>
      </c>
      <c r="V49" s="29">
        <f t="shared" si="2"/>
        <v>0</v>
      </c>
      <c r="W49" s="66">
        <v>12</v>
      </c>
      <c r="X49" s="48">
        <f t="shared" si="3"/>
        <v>0</v>
      </c>
      <c r="Y49" s="29">
        <f>(P49*R49)-(P49*R49*T49)</f>
        <v>0</v>
      </c>
      <c r="Z49" s="66">
        <v>9919999.9999611992</v>
      </c>
      <c r="AA49" s="49">
        <f t="shared" si="4"/>
        <v>0</v>
      </c>
      <c r="AB49" s="67"/>
      <c r="AC49" s="67"/>
      <c r="AD49" s="67"/>
      <c r="AE49" s="67"/>
      <c r="AF49" s="68"/>
      <c r="AG49" s="67"/>
      <c r="AH49" s="67"/>
      <c r="AI49" s="69"/>
      <c r="AJ49" s="69"/>
      <c r="AK49" s="67"/>
      <c r="AL49" s="67"/>
      <c r="AM49" s="67"/>
      <c r="AN49" s="70"/>
    </row>
    <row r="50" spans="1:40" s="71" customFormat="1" ht="18" customHeight="1" x14ac:dyDescent="0.3">
      <c r="A50" s="64">
        <v>43</v>
      </c>
      <c r="B50" s="65">
        <v>46237</v>
      </c>
      <c r="C50" s="7" t="s">
        <v>236</v>
      </c>
      <c r="D50" s="7" t="s">
        <v>237</v>
      </c>
      <c r="E50" s="7" t="s">
        <v>238</v>
      </c>
      <c r="F50" s="7" t="s">
        <v>239</v>
      </c>
      <c r="G50" s="45" t="s">
        <v>240</v>
      </c>
      <c r="H50" s="6" t="s">
        <v>241</v>
      </c>
      <c r="I50" s="6" t="s">
        <v>242</v>
      </c>
      <c r="J50" s="6" t="s">
        <v>243</v>
      </c>
      <c r="K50" s="6" t="s">
        <v>244</v>
      </c>
      <c r="L50" s="6" t="s">
        <v>40</v>
      </c>
      <c r="M50" s="6" t="s">
        <v>72</v>
      </c>
      <c r="N50" s="7" t="s">
        <v>245</v>
      </c>
      <c r="O50" s="7" t="s">
        <v>246</v>
      </c>
      <c r="P50" s="66">
        <v>40</v>
      </c>
      <c r="Q50" s="29">
        <f t="shared" si="0"/>
        <v>223423.423423</v>
      </c>
      <c r="R50" s="29">
        <f t="shared" si="1"/>
        <v>247999.99999953003</v>
      </c>
      <c r="S50" s="36">
        <v>309999.99999941251</v>
      </c>
      <c r="T50" s="66">
        <v>0</v>
      </c>
      <c r="U50" s="29">
        <f>(P50*Q50)-(P50*Q50*T50)</f>
        <v>8936936.9369200002</v>
      </c>
      <c r="V50" s="29">
        <f t="shared" si="2"/>
        <v>8192192.1921766661</v>
      </c>
      <c r="W50" s="66">
        <v>12</v>
      </c>
      <c r="X50" s="48">
        <f t="shared" si="3"/>
        <v>983063.06306119997</v>
      </c>
      <c r="Y50" s="29">
        <f>(P50*R50)-(P50*R50*T50)</f>
        <v>9919999.9999812022</v>
      </c>
      <c r="Z50" s="66">
        <v>9919999.9999611992</v>
      </c>
      <c r="AA50" s="49">
        <f t="shared" si="4"/>
        <v>12399999.999976503</v>
      </c>
      <c r="AB50" s="67"/>
      <c r="AC50" s="67"/>
      <c r="AD50" s="67"/>
      <c r="AE50" s="67"/>
      <c r="AF50" s="68"/>
      <c r="AG50" s="67"/>
      <c r="AH50" s="67"/>
      <c r="AI50" s="69"/>
      <c r="AJ50" s="69"/>
      <c r="AK50" s="67"/>
      <c r="AL50" s="67"/>
      <c r="AM50" s="67"/>
      <c r="AN50" s="70"/>
    </row>
    <row r="51" spans="1:40" s="71" customFormat="1" ht="18" customHeight="1" x14ac:dyDescent="0.3">
      <c r="A51" s="64">
        <v>44</v>
      </c>
      <c r="B51" s="65">
        <v>46237</v>
      </c>
      <c r="C51" s="7" t="s">
        <v>247</v>
      </c>
      <c r="D51" s="7" t="s">
        <v>248</v>
      </c>
      <c r="E51" s="7" t="s">
        <v>48</v>
      </c>
      <c r="F51" s="7" t="s">
        <v>249</v>
      </c>
      <c r="G51" s="45" t="s">
        <v>250</v>
      </c>
      <c r="H51" s="6" t="s">
        <v>251</v>
      </c>
      <c r="I51" s="6" t="s">
        <v>252</v>
      </c>
      <c r="J51" s="6" t="s">
        <v>253</v>
      </c>
      <c r="K51" s="6" t="s">
        <v>254</v>
      </c>
      <c r="L51" s="6" t="s">
        <v>40</v>
      </c>
      <c r="M51" s="6" t="s">
        <v>72</v>
      </c>
      <c r="N51" s="7" t="s">
        <v>255</v>
      </c>
      <c r="O51" s="7" t="s">
        <v>256</v>
      </c>
      <c r="P51" s="66">
        <v>140</v>
      </c>
      <c r="Q51" s="29">
        <f t="shared" si="0"/>
        <v>121441.441441</v>
      </c>
      <c r="R51" s="29">
        <f t="shared" si="1"/>
        <v>134799.99999951001</v>
      </c>
      <c r="S51" s="36">
        <v>168499.99999938751</v>
      </c>
      <c r="T51" s="66">
        <v>0</v>
      </c>
      <c r="U51" s="29">
        <f>(P51*Q51)-(P51*Q51*T51)</f>
        <v>17001801.801740002</v>
      </c>
      <c r="V51" s="29">
        <f>+U51*0.916666666666667</f>
        <v>15584984.984928334</v>
      </c>
      <c r="W51" s="66">
        <v>12</v>
      </c>
      <c r="X51" s="48">
        <f t="shared" si="3"/>
        <v>1870198.1981914002</v>
      </c>
      <c r="Y51" s="29">
        <f>(P51*R51)-(P51*R51*T51)</f>
        <v>18871999.999931403</v>
      </c>
      <c r="Z51" s="66">
        <v>18871999.9998914</v>
      </c>
      <c r="AA51" s="49">
        <f t="shared" si="4"/>
        <v>23589999.999914251</v>
      </c>
      <c r="AB51" s="67"/>
      <c r="AC51" s="67"/>
      <c r="AD51" s="67"/>
      <c r="AE51" s="67"/>
      <c r="AF51" s="68"/>
      <c r="AG51" s="67"/>
      <c r="AH51" s="67"/>
      <c r="AI51" s="69"/>
      <c r="AJ51" s="69"/>
      <c r="AK51" s="67"/>
      <c r="AL51" s="67"/>
      <c r="AM51" s="67"/>
      <c r="AN51" s="70"/>
    </row>
    <row r="52" spans="1:40" s="71" customFormat="1" ht="18" customHeight="1" x14ac:dyDescent="0.3">
      <c r="A52" s="64">
        <v>45</v>
      </c>
      <c r="B52" s="65">
        <v>46237</v>
      </c>
      <c r="C52" s="7" t="s">
        <v>257</v>
      </c>
      <c r="D52" s="7" t="s">
        <v>258</v>
      </c>
      <c r="E52" s="7" t="s">
        <v>33</v>
      </c>
      <c r="F52" s="7" t="s">
        <v>259</v>
      </c>
      <c r="G52" s="45" t="s">
        <v>35</v>
      </c>
      <c r="H52" s="6" t="s">
        <v>260</v>
      </c>
      <c r="I52" s="6" t="s">
        <v>261</v>
      </c>
      <c r="J52" s="6" t="s">
        <v>38</v>
      </c>
      <c r="K52" s="6" t="s">
        <v>262</v>
      </c>
      <c r="L52" s="6" t="s">
        <v>40</v>
      </c>
      <c r="M52" s="6" t="s">
        <v>72</v>
      </c>
      <c r="N52" s="7" t="s">
        <v>263</v>
      </c>
      <c r="O52" s="7" t="s">
        <v>264</v>
      </c>
      <c r="P52" s="66">
        <v>50</v>
      </c>
      <c r="Q52" s="29">
        <f t="shared" si="0"/>
        <v>130450.45045000002</v>
      </c>
      <c r="R52" s="29">
        <f t="shared" si="1"/>
        <v>144799.99999950003</v>
      </c>
      <c r="S52" s="36">
        <v>180999.99999937502</v>
      </c>
      <c r="T52" s="66">
        <v>0</v>
      </c>
      <c r="U52" s="29">
        <f>(P52*Q52)-(P52*Q52*T52)</f>
        <v>6522522.5225000009</v>
      </c>
      <c r="V52" s="29">
        <f t="shared" si="2"/>
        <v>5978978.9789583338</v>
      </c>
      <c r="W52" s="66">
        <v>12</v>
      </c>
      <c r="X52" s="48">
        <f t="shared" si="3"/>
        <v>717477.47747500008</v>
      </c>
      <c r="Y52" s="29">
        <f>(P52*R52)-(P52*R52*T52)</f>
        <v>7239999.9999750014</v>
      </c>
      <c r="Z52" s="66">
        <v>15239999.999745</v>
      </c>
      <c r="AA52" s="49">
        <f t="shared" si="4"/>
        <v>9049999.9999687504</v>
      </c>
      <c r="AB52" s="67"/>
      <c r="AC52" s="67"/>
      <c r="AD52" s="67"/>
      <c r="AE52" s="67"/>
      <c r="AF52" s="68"/>
      <c r="AG52" s="67"/>
      <c r="AH52" s="67"/>
      <c r="AI52" s="69"/>
      <c r="AJ52" s="69"/>
      <c r="AK52" s="67"/>
      <c r="AL52" s="67"/>
      <c r="AM52" s="67"/>
      <c r="AN52" s="70"/>
    </row>
    <row r="53" spans="1:40" s="71" customFormat="1" ht="18" customHeight="1" x14ac:dyDescent="0.3">
      <c r="A53" s="64">
        <v>46</v>
      </c>
      <c r="B53" s="65">
        <v>46237</v>
      </c>
      <c r="C53" s="7" t="s">
        <v>257</v>
      </c>
      <c r="D53" s="7" t="s">
        <v>258</v>
      </c>
      <c r="E53" s="7" t="s">
        <v>33</v>
      </c>
      <c r="F53" s="7" t="s">
        <v>259</v>
      </c>
      <c r="G53" s="45" t="s">
        <v>35</v>
      </c>
      <c r="H53" s="6" t="s">
        <v>260</v>
      </c>
      <c r="I53" s="6" t="s">
        <v>261</v>
      </c>
      <c r="J53" s="6" t="s">
        <v>38</v>
      </c>
      <c r="K53" s="6" t="s">
        <v>262</v>
      </c>
      <c r="L53" s="6" t="s">
        <v>40</v>
      </c>
      <c r="M53" s="6" t="s">
        <v>72</v>
      </c>
      <c r="N53" s="7" t="s">
        <v>265</v>
      </c>
      <c r="O53" s="7" t="s">
        <v>266</v>
      </c>
      <c r="P53" s="66">
        <v>500</v>
      </c>
      <c r="Q53" s="29">
        <f t="shared" si="0"/>
        <v>14414.414413999999</v>
      </c>
      <c r="R53" s="29">
        <f t="shared" si="1"/>
        <v>15999.999999539999</v>
      </c>
      <c r="S53" s="36">
        <v>19999.999999424999</v>
      </c>
      <c r="T53" s="66">
        <v>0</v>
      </c>
      <c r="U53" s="29">
        <f>(P53*Q53)-(P53*Q53*T53)</f>
        <v>7207207.2069999995</v>
      </c>
      <c r="V53" s="29">
        <f t="shared" si="2"/>
        <v>6606606.6064166659</v>
      </c>
      <c r="W53" s="66">
        <v>12</v>
      </c>
      <c r="X53" s="48">
        <f t="shared" si="3"/>
        <v>792792.79276999994</v>
      </c>
      <c r="Y53" s="29">
        <f>(P53*R53)-(P53*R53*T53)</f>
        <v>7999999.9997699996</v>
      </c>
      <c r="Z53" s="66">
        <v>15239999.999745</v>
      </c>
      <c r="AA53" s="49">
        <f t="shared" si="4"/>
        <v>9999999.9997124989</v>
      </c>
      <c r="AB53" s="67"/>
      <c r="AC53" s="67"/>
      <c r="AD53" s="67"/>
      <c r="AE53" s="67"/>
      <c r="AF53" s="68"/>
      <c r="AG53" s="67"/>
      <c r="AH53" s="67"/>
      <c r="AI53" s="69"/>
      <c r="AJ53" s="69"/>
      <c r="AK53" s="67"/>
      <c r="AL53" s="67"/>
      <c r="AM53" s="67"/>
      <c r="AN53" s="70"/>
    </row>
    <row r="54" spans="1:40" s="71" customFormat="1" ht="18" customHeight="1" x14ac:dyDescent="0.3">
      <c r="A54" s="64">
        <v>47</v>
      </c>
      <c r="B54" s="65">
        <v>46237</v>
      </c>
      <c r="C54" s="7" t="s">
        <v>257</v>
      </c>
      <c r="D54" s="7" t="s">
        <v>267</v>
      </c>
      <c r="E54" s="7" t="s">
        <v>33</v>
      </c>
      <c r="F54" s="7" t="s">
        <v>259</v>
      </c>
      <c r="G54" s="45" t="s">
        <v>35</v>
      </c>
      <c r="H54" s="6" t="s">
        <v>260</v>
      </c>
      <c r="I54" s="6" t="s">
        <v>261</v>
      </c>
      <c r="J54" s="6" t="s">
        <v>38</v>
      </c>
      <c r="K54" s="6" t="s">
        <v>262</v>
      </c>
      <c r="L54" s="6" t="s">
        <v>40</v>
      </c>
      <c r="M54" s="6" t="s">
        <v>72</v>
      </c>
      <c r="N54" s="7" t="s">
        <v>81</v>
      </c>
      <c r="O54" s="7" t="s">
        <v>82</v>
      </c>
      <c r="P54" s="66">
        <v>3</v>
      </c>
      <c r="Q54" s="29">
        <f>IF(W54=0,R54,R54/1.11)</f>
        <v>26666.666666666664</v>
      </c>
      <c r="R54" s="29">
        <f t="shared" si="1"/>
        <v>29600</v>
      </c>
      <c r="S54" s="36">
        <v>37000</v>
      </c>
      <c r="T54" s="66">
        <v>1</v>
      </c>
      <c r="U54" s="29">
        <f>(P54*Q54)-(P54*Q54*T54)</f>
        <v>0</v>
      </c>
      <c r="V54" s="29">
        <f t="shared" si="2"/>
        <v>0</v>
      </c>
      <c r="W54" s="66">
        <v>12</v>
      </c>
      <c r="X54" s="48">
        <f t="shared" si="3"/>
        <v>0</v>
      </c>
      <c r="Y54" s="29">
        <f>(P54*R54)-(P54*R54*T54)</f>
        <v>0</v>
      </c>
      <c r="Z54" s="66">
        <v>15239999.999745</v>
      </c>
      <c r="AA54" s="49">
        <f>Y54/0.8</f>
        <v>0</v>
      </c>
      <c r="AB54" s="72"/>
      <c r="AC54" s="67"/>
      <c r="AD54" s="67"/>
      <c r="AE54" s="67"/>
      <c r="AF54" s="68"/>
      <c r="AG54" s="67"/>
      <c r="AH54" s="67"/>
      <c r="AI54" s="69"/>
      <c r="AJ54" s="69"/>
      <c r="AK54" s="67"/>
      <c r="AL54" s="67"/>
      <c r="AM54" s="67"/>
      <c r="AN54" s="70"/>
    </row>
    <row r="55" spans="1:40" s="71" customFormat="1" ht="18" customHeight="1" x14ac:dyDescent="0.3">
      <c r="A55" s="64">
        <v>48</v>
      </c>
      <c r="B55" s="65">
        <v>46237</v>
      </c>
      <c r="C55" s="7" t="s">
        <v>268</v>
      </c>
      <c r="D55" s="7" t="s">
        <v>237</v>
      </c>
      <c r="E55" s="7" t="s">
        <v>238</v>
      </c>
      <c r="F55" s="7" t="s">
        <v>269</v>
      </c>
      <c r="G55" s="45" t="s">
        <v>240</v>
      </c>
      <c r="H55" s="6" t="s">
        <v>270</v>
      </c>
      <c r="I55" s="6" t="s">
        <v>271</v>
      </c>
      <c r="J55" s="6" t="s">
        <v>243</v>
      </c>
      <c r="K55" s="6" t="s">
        <v>272</v>
      </c>
      <c r="L55" s="6" t="s">
        <v>40</v>
      </c>
      <c r="M55" s="6" t="s">
        <v>214</v>
      </c>
      <c r="N55" s="7" t="s">
        <v>215</v>
      </c>
      <c r="O55" s="7" t="s">
        <v>216</v>
      </c>
      <c r="P55" s="66">
        <v>1</v>
      </c>
      <c r="Q55" s="29">
        <f t="shared" si="0"/>
        <v>288288.28828799992</v>
      </c>
      <c r="R55" s="29">
        <f t="shared" si="1"/>
        <v>319999.99999967997</v>
      </c>
      <c r="S55" s="36">
        <v>399999.99999959994</v>
      </c>
      <c r="T55" s="66">
        <v>1</v>
      </c>
      <c r="U55" s="29">
        <f>(P55*Q55)-(P55*Q55*T55)</f>
        <v>0</v>
      </c>
      <c r="V55" s="29">
        <f t="shared" si="2"/>
        <v>0</v>
      </c>
      <c r="W55" s="66">
        <v>12</v>
      </c>
      <c r="X55" s="48">
        <f t="shared" si="3"/>
        <v>0</v>
      </c>
      <c r="Y55" s="29">
        <f>(P55*R55)-(P55*R55*T55)</f>
        <v>0</v>
      </c>
      <c r="Z55" s="66">
        <v>9920000</v>
      </c>
      <c r="AA55" s="49">
        <f t="shared" si="4"/>
        <v>0</v>
      </c>
      <c r="AB55" s="67"/>
      <c r="AC55" s="67"/>
      <c r="AD55" s="67"/>
      <c r="AE55" s="67"/>
      <c r="AF55" s="68"/>
      <c r="AG55" s="67"/>
      <c r="AH55" s="67"/>
      <c r="AI55" s="69"/>
      <c r="AJ55" s="69"/>
      <c r="AK55" s="67"/>
      <c r="AL55" s="67"/>
      <c r="AM55" s="67"/>
      <c r="AN55" s="70"/>
    </row>
    <row r="56" spans="1:40" s="71" customFormat="1" ht="18" customHeight="1" x14ac:dyDescent="0.3">
      <c r="A56" s="64">
        <v>49</v>
      </c>
      <c r="B56" s="65">
        <v>46237</v>
      </c>
      <c r="C56" s="7" t="s">
        <v>268</v>
      </c>
      <c r="D56" s="7" t="s">
        <v>237</v>
      </c>
      <c r="E56" s="7" t="s">
        <v>238</v>
      </c>
      <c r="F56" s="7" t="s">
        <v>269</v>
      </c>
      <c r="G56" s="45" t="s">
        <v>240</v>
      </c>
      <c r="H56" s="6" t="s">
        <v>270</v>
      </c>
      <c r="I56" s="6" t="s">
        <v>271</v>
      </c>
      <c r="J56" s="6" t="s">
        <v>243</v>
      </c>
      <c r="K56" s="6" t="s">
        <v>272</v>
      </c>
      <c r="L56" s="6" t="s">
        <v>40</v>
      </c>
      <c r="M56" s="6" t="s">
        <v>72</v>
      </c>
      <c r="N56" s="7" t="s">
        <v>245</v>
      </c>
      <c r="O56" s="7" t="s">
        <v>246</v>
      </c>
      <c r="P56" s="66">
        <v>40</v>
      </c>
      <c r="Q56" s="29">
        <f t="shared" si="0"/>
        <v>223423.4234234234</v>
      </c>
      <c r="R56" s="29">
        <f t="shared" si="1"/>
        <v>248000</v>
      </c>
      <c r="S56" s="36">
        <v>310000</v>
      </c>
      <c r="T56" s="66">
        <v>0</v>
      </c>
      <c r="U56" s="29">
        <f>(P56*Q56)-(P56*Q56*T56)</f>
        <v>8936936.9369369354</v>
      </c>
      <c r="V56" s="29">
        <f t="shared" si="2"/>
        <v>8192192.1921921903</v>
      </c>
      <c r="W56" s="66">
        <v>12</v>
      </c>
      <c r="X56" s="48">
        <f t="shared" si="3"/>
        <v>983063.06306306284</v>
      </c>
      <c r="Y56" s="29">
        <f>(P56*R56)-(P56*R56*T56)</f>
        <v>9920000</v>
      </c>
      <c r="Z56" s="66">
        <v>9920000</v>
      </c>
      <c r="AA56" s="49">
        <f t="shared" si="4"/>
        <v>12400000</v>
      </c>
      <c r="AB56" s="67"/>
      <c r="AC56" s="67"/>
      <c r="AD56" s="67"/>
      <c r="AE56" s="67"/>
      <c r="AF56" s="68"/>
      <c r="AG56" s="67"/>
      <c r="AH56" s="67"/>
      <c r="AI56" s="69"/>
      <c r="AJ56" s="69"/>
      <c r="AK56" s="67"/>
      <c r="AL56" s="67"/>
      <c r="AM56" s="67"/>
      <c r="AN56" s="70"/>
    </row>
    <row r="57" spans="1:40" s="71" customFormat="1" ht="18" customHeight="1" x14ac:dyDescent="0.3">
      <c r="A57" s="64">
        <v>50</v>
      </c>
      <c r="B57" s="65">
        <v>46237</v>
      </c>
      <c r="C57" s="7" t="s">
        <v>273</v>
      </c>
      <c r="D57" s="7" t="s">
        <v>274</v>
      </c>
      <c r="E57" s="7" t="s">
        <v>33</v>
      </c>
      <c r="F57" s="7" t="s">
        <v>275</v>
      </c>
      <c r="G57" s="45" t="s">
        <v>35</v>
      </c>
      <c r="H57" s="6" t="s">
        <v>276</v>
      </c>
      <c r="I57" s="6" t="s">
        <v>277</v>
      </c>
      <c r="J57" s="6" t="s">
        <v>38</v>
      </c>
      <c r="K57" s="6" t="s">
        <v>278</v>
      </c>
      <c r="L57" s="6" t="s">
        <v>40</v>
      </c>
      <c r="M57" s="6" t="s">
        <v>72</v>
      </c>
      <c r="N57" s="7" t="s">
        <v>279</v>
      </c>
      <c r="O57" s="7" t="s">
        <v>280</v>
      </c>
      <c r="P57" s="66">
        <v>48</v>
      </c>
      <c r="Q57" s="29">
        <f t="shared" si="0"/>
        <v>136936.93693600001</v>
      </c>
      <c r="R57" s="29">
        <f t="shared" si="1"/>
        <v>151999.99999896003</v>
      </c>
      <c r="S57" s="36">
        <v>189999.99999870005</v>
      </c>
      <c r="T57" s="66">
        <v>0</v>
      </c>
      <c r="U57" s="29">
        <f>(P57*Q57)-(P57*Q57*T57)</f>
        <v>6572972.9729280006</v>
      </c>
      <c r="V57" s="29">
        <f t="shared" si="2"/>
        <v>6025225.2251840001</v>
      </c>
      <c r="W57" s="66">
        <v>12</v>
      </c>
      <c r="X57" s="48">
        <f t="shared" si="3"/>
        <v>723027.02702208003</v>
      </c>
      <c r="Y57" s="29">
        <f>(P57*R57)-(P57*R57*T57)</f>
        <v>7295999.9999500811</v>
      </c>
      <c r="Z57" s="66">
        <v>11871999.9998971</v>
      </c>
      <c r="AA57" s="49">
        <f t="shared" si="4"/>
        <v>9119999.9999376014</v>
      </c>
      <c r="AB57" s="67"/>
      <c r="AC57" s="67"/>
      <c r="AD57" s="67"/>
      <c r="AE57" s="67"/>
      <c r="AF57" s="68"/>
      <c r="AG57" s="67"/>
      <c r="AH57" s="67"/>
      <c r="AI57" s="69"/>
      <c r="AJ57" s="69"/>
      <c r="AK57" s="67"/>
      <c r="AL57" s="67"/>
      <c r="AM57" s="67"/>
      <c r="AN57" s="70"/>
    </row>
    <row r="58" spans="1:40" s="71" customFormat="1" ht="18" customHeight="1" x14ac:dyDescent="0.3">
      <c r="A58" s="64">
        <v>51</v>
      </c>
      <c r="B58" s="65">
        <v>46237</v>
      </c>
      <c r="C58" s="7" t="s">
        <v>273</v>
      </c>
      <c r="D58" s="7" t="s">
        <v>274</v>
      </c>
      <c r="E58" s="7" t="s">
        <v>33</v>
      </c>
      <c r="F58" s="7" t="s">
        <v>275</v>
      </c>
      <c r="G58" s="45" t="s">
        <v>35</v>
      </c>
      <c r="H58" s="6" t="s">
        <v>276</v>
      </c>
      <c r="I58" s="6" t="s">
        <v>277</v>
      </c>
      <c r="J58" s="6" t="s">
        <v>38</v>
      </c>
      <c r="K58" s="6" t="s">
        <v>278</v>
      </c>
      <c r="L58" s="6" t="s">
        <v>40</v>
      </c>
      <c r="M58" s="6" t="s">
        <v>72</v>
      </c>
      <c r="N58" s="7" t="s">
        <v>281</v>
      </c>
      <c r="O58" s="7" t="s">
        <v>282</v>
      </c>
      <c r="P58" s="66">
        <v>60</v>
      </c>
      <c r="Q58" s="29">
        <f t="shared" si="0"/>
        <v>50090.090089999998</v>
      </c>
      <c r="R58" s="29">
        <f t="shared" si="1"/>
        <v>55599.999999899999</v>
      </c>
      <c r="S58" s="36">
        <v>69499.999999874999</v>
      </c>
      <c r="T58" s="66">
        <v>0</v>
      </c>
      <c r="U58" s="29">
        <f>(P58*Q58)-(P58*Q58*T58)</f>
        <v>3005405.4054</v>
      </c>
      <c r="V58" s="29">
        <f t="shared" si="2"/>
        <v>2754954.9549500002</v>
      </c>
      <c r="W58" s="66">
        <v>12</v>
      </c>
      <c r="X58" s="48">
        <f t="shared" si="3"/>
        <v>330594.59459400002</v>
      </c>
      <c r="Y58" s="29">
        <f>(P58*R58)-(P58*R58*T58)</f>
        <v>3335999.999994</v>
      </c>
      <c r="Z58" s="66">
        <v>11871999.9998971</v>
      </c>
      <c r="AA58" s="49">
        <f t="shared" si="4"/>
        <v>4169999.9999924996</v>
      </c>
      <c r="AB58" s="67"/>
      <c r="AC58" s="67"/>
      <c r="AD58" s="67"/>
      <c r="AE58" s="67"/>
      <c r="AF58" s="68"/>
      <c r="AG58" s="67"/>
      <c r="AH58" s="67"/>
      <c r="AI58" s="69"/>
      <c r="AJ58" s="69"/>
      <c r="AK58" s="67"/>
      <c r="AL58" s="67"/>
      <c r="AM58" s="67"/>
      <c r="AN58" s="70"/>
    </row>
    <row r="59" spans="1:40" s="71" customFormat="1" ht="18" customHeight="1" x14ac:dyDescent="0.3">
      <c r="A59" s="64">
        <v>52</v>
      </c>
      <c r="B59" s="65">
        <v>46237</v>
      </c>
      <c r="C59" s="7" t="s">
        <v>273</v>
      </c>
      <c r="D59" s="7" t="s">
        <v>274</v>
      </c>
      <c r="E59" s="7" t="s">
        <v>33</v>
      </c>
      <c r="F59" s="7" t="s">
        <v>275</v>
      </c>
      <c r="G59" s="45" t="s">
        <v>35</v>
      </c>
      <c r="H59" s="6" t="s">
        <v>276</v>
      </c>
      <c r="I59" s="6" t="s">
        <v>277</v>
      </c>
      <c r="J59" s="6" t="s">
        <v>38</v>
      </c>
      <c r="K59" s="6" t="s">
        <v>278</v>
      </c>
      <c r="L59" s="6" t="s">
        <v>40</v>
      </c>
      <c r="M59" s="6" t="s">
        <v>72</v>
      </c>
      <c r="N59" s="7" t="s">
        <v>283</v>
      </c>
      <c r="O59" s="7" t="s">
        <v>284</v>
      </c>
      <c r="P59" s="66">
        <v>100</v>
      </c>
      <c r="Q59" s="29">
        <f t="shared" si="0"/>
        <v>11171.171171</v>
      </c>
      <c r="R59" s="29">
        <f t="shared" si="1"/>
        <v>12399.999999810001</v>
      </c>
      <c r="S59" s="36">
        <v>15499.9999997625</v>
      </c>
      <c r="T59" s="66">
        <v>0</v>
      </c>
      <c r="U59" s="29">
        <f>(P59*Q59)-(P59*Q59*T59)</f>
        <v>1117117.1170999999</v>
      </c>
      <c r="V59" s="29">
        <f t="shared" si="2"/>
        <v>1024024.0240083332</v>
      </c>
      <c r="W59" s="66">
        <v>12</v>
      </c>
      <c r="X59" s="48">
        <f t="shared" si="3"/>
        <v>122882.88288099998</v>
      </c>
      <c r="Y59" s="29">
        <f>(P59*R59)-(P59*R59*T59)</f>
        <v>1239999.9999810001</v>
      </c>
      <c r="Z59" s="66">
        <v>11871999.9998971</v>
      </c>
      <c r="AA59" s="49">
        <f t="shared" si="4"/>
        <v>1549999.9999762501</v>
      </c>
      <c r="AB59" s="67"/>
      <c r="AC59" s="67"/>
      <c r="AD59" s="67"/>
      <c r="AE59" s="67"/>
      <c r="AF59" s="68"/>
      <c r="AG59" s="67"/>
      <c r="AH59" s="67"/>
      <c r="AI59" s="69"/>
      <c r="AJ59" s="69"/>
      <c r="AK59" s="67"/>
      <c r="AL59" s="67"/>
      <c r="AM59" s="67"/>
      <c r="AN59" s="70"/>
    </row>
    <row r="60" spans="1:40" s="71" customFormat="1" ht="18" customHeight="1" x14ac:dyDescent="0.3">
      <c r="A60" s="64">
        <v>53</v>
      </c>
      <c r="B60" s="65">
        <v>46237</v>
      </c>
      <c r="C60" s="7" t="s">
        <v>285</v>
      </c>
      <c r="D60" s="7" t="s">
        <v>237</v>
      </c>
      <c r="E60" s="7" t="s">
        <v>238</v>
      </c>
      <c r="F60" s="7" t="s">
        <v>286</v>
      </c>
      <c r="G60" s="45" t="s">
        <v>240</v>
      </c>
      <c r="H60" s="6" t="s">
        <v>287</v>
      </c>
      <c r="I60" s="6" t="s">
        <v>288</v>
      </c>
      <c r="J60" s="6" t="s">
        <v>243</v>
      </c>
      <c r="K60" s="6" t="s">
        <v>289</v>
      </c>
      <c r="L60" s="6" t="s">
        <v>40</v>
      </c>
      <c r="M60" s="6" t="s">
        <v>214</v>
      </c>
      <c r="N60" s="7" t="s">
        <v>215</v>
      </c>
      <c r="O60" s="7" t="s">
        <v>216</v>
      </c>
      <c r="P60" s="66">
        <v>1</v>
      </c>
      <c r="Q60" s="29">
        <f t="shared" si="0"/>
        <v>288288.28828799992</v>
      </c>
      <c r="R60" s="29">
        <f t="shared" si="1"/>
        <v>319999.99999967997</v>
      </c>
      <c r="S60" s="36">
        <v>399999.99999959994</v>
      </c>
      <c r="T60" s="66">
        <v>1</v>
      </c>
      <c r="U60" s="29">
        <f>(P60*Q60)-(P60*Q60*T60)</f>
        <v>0</v>
      </c>
      <c r="V60" s="29">
        <f t="shared" si="2"/>
        <v>0</v>
      </c>
      <c r="W60" s="66">
        <v>12</v>
      </c>
      <c r="X60" s="48">
        <f t="shared" si="3"/>
        <v>0</v>
      </c>
      <c r="Y60" s="29">
        <f>(P60*R60)-(P60*R60*T60)</f>
        <v>0</v>
      </c>
      <c r="Z60" s="66">
        <v>9920000</v>
      </c>
      <c r="AA60" s="49">
        <f t="shared" si="4"/>
        <v>0</v>
      </c>
      <c r="AB60" s="67"/>
      <c r="AC60" s="67"/>
      <c r="AD60" s="67"/>
      <c r="AE60" s="67"/>
      <c r="AF60" s="68"/>
      <c r="AG60" s="67"/>
      <c r="AH60" s="67"/>
      <c r="AI60" s="69"/>
      <c r="AJ60" s="69"/>
      <c r="AK60" s="67"/>
      <c r="AL60" s="67"/>
      <c r="AM60" s="67"/>
      <c r="AN60" s="70"/>
    </row>
    <row r="61" spans="1:40" s="71" customFormat="1" ht="18" customHeight="1" x14ac:dyDescent="0.3">
      <c r="A61" s="64">
        <v>54</v>
      </c>
      <c r="B61" s="65">
        <v>46237</v>
      </c>
      <c r="C61" s="7" t="s">
        <v>285</v>
      </c>
      <c r="D61" s="7" t="s">
        <v>237</v>
      </c>
      <c r="E61" s="7" t="s">
        <v>238</v>
      </c>
      <c r="F61" s="7" t="s">
        <v>286</v>
      </c>
      <c r="G61" s="45" t="s">
        <v>240</v>
      </c>
      <c r="H61" s="6" t="s">
        <v>287</v>
      </c>
      <c r="I61" s="6" t="s">
        <v>288</v>
      </c>
      <c r="J61" s="6" t="s">
        <v>243</v>
      </c>
      <c r="K61" s="6" t="s">
        <v>289</v>
      </c>
      <c r="L61" s="6" t="s">
        <v>40</v>
      </c>
      <c r="M61" s="6" t="s">
        <v>72</v>
      </c>
      <c r="N61" s="7" t="s">
        <v>245</v>
      </c>
      <c r="O61" s="7" t="s">
        <v>246</v>
      </c>
      <c r="P61" s="66">
        <v>40</v>
      </c>
      <c r="Q61" s="29">
        <f t="shared" si="0"/>
        <v>223423.4234234234</v>
      </c>
      <c r="R61" s="29">
        <f t="shared" si="1"/>
        <v>248000</v>
      </c>
      <c r="S61" s="36">
        <v>310000</v>
      </c>
      <c r="T61" s="66">
        <v>0</v>
      </c>
      <c r="U61" s="29">
        <f>(P61*Q61)-(P61*Q61*T61)</f>
        <v>8936936.9369369354</v>
      </c>
      <c r="V61" s="29">
        <f t="shared" si="2"/>
        <v>8192192.1921921903</v>
      </c>
      <c r="W61" s="66">
        <v>12</v>
      </c>
      <c r="X61" s="48">
        <f t="shared" si="3"/>
        <v>983063.06306306284</v>
      </c>
      <c r="Y61" s="29">
        <f>(P61*R61)-(P61*R61*T61)</f>
        <v>9920000</v>
      </c>
      <c r="Z61" s="66">
        <v>9920000</v>
      </c>
      <c r="AA61" s="49">
        <f t="shared" si="4"/>
        <v>12400000</v>
      </c>
      <c r="AB61" s="67"/>
      <c r="AC61" s="67"/>
      <c r="AD61" s="67"/>
      <c r="AE61" s="67"/>
      <c r="AF61" s="68"/>
      <c r="AG61" s="67"/>
      <c r="AH61" s="67"/>
      <c r="AI61" s="69"/>
      <c r="AJ61" s="69"/>
      <c r="AK61" s="67"/>
      <c r="AL61" s="67"/>
      <c r="AM61" s="67"/>
      <c r="AN61" s="70"/>
    </row>
    <row r="62" spans="1:40" s="71" customFormat="1" ht="18" customHeight="1" x14ac:dyDescent="0.3">
      <c r="A62" s="64">
        <v>55</v>
      </c>
      <c r="B62" s="65">
        <v>46237</v>
      </c>
      <c r="C62" s="7" t="s">
        <v>290</v>
      </c>
      <c r="D62" s="7" t="s">
        <v>248</v>
      </c>
      <c r="E62" s="7" t="s">
        <v>48</v>
      </c>
      <c r="F62" s="7" t="s">
        <v>291</v>
      </c>
      <c r="G62" s="45" t="s">
        <v>250</v>
      </c>
      <c r="H62" s="6" t="s">
        <v>292</v>
      </c>
      <c r="I62" s="6" t="s">
        <v>293</v>
      </c>
      <c r="J62" s="6" t="s">
        <v>294</v>
      </c>
      <c r="K62" s="6" t="s">
        <v>295</v>
      </c>
      <c r="L62" s="6" t="s">
        <v>40</v>
      </c>
      <c r="M62" s="6" t="s">
        <v>72</v>
      </c>
      <c r="N62" s="7" t="s">
        <v>255</v>
      </c>
      <c r="O62" s="7" t="s">
        <v>256</v>
      </c>
      <c r="P62" s="66">
        <v>140</v>
      </c>
      <c r="Q62" s="29">
        <f t="shared" si="0"/>
        <v>121441.441441</v>
      </c>
      <c r="R62" s="29">
        <f t="shared" si="1"/>
        <v>134799.99999951001</v>
      </c>
      <c r="S62" s="36">
        <v>168499.99999938751</v>
      </c>
      <c r="T62" s="66">
        <v>0</v>
      </c>
      <c r="U62" s="29">
        <f>(P62*Q62)-(P62*Q62*T62)</f>
        <v>17001801.801740002</v>
      </c>
      <c r="V62" s="29">
        <f>+U62*0.916666666666667</f>
        <v>15584984.984928334</v>
      </c>
      <c r="W62" s="66">
        <v>12</v>
      </c>
      <c r="X62" s="48">
        <f t="shared" si="3"/>
        <v>1870198.1981914002</v>
      </c>
      <c r="Y62" s="29">
        <f>(P62*R62)-(P62*R62*T62)</f>
        <v>18871999.999931403</v>
      </c>
      <c r="Z62" s="66">
        <v>18871999.9998914</v>
      </c>
      <c r="AA62" s="49">
        <f t="shared" si="4"/>
        <v>23589999.999914251</v>
      </c>
      <c r="AB62" s="67"/>
      <c r="AC62" s="67"/>
      <c r="AD62" s="67"/>
      <c r="AE62" s="67"/>
      <c r="AF62" s="68"/>
      <c r="AG62" s="67"/>
      <c r="AH62" s="67"/>
      <c r="AI62" s="69"/>
      <c r="AJ62" s="69"/>
      <c r="AK62" s="67"/>
      <c r="AL62" s="67"/>
      <c r="AM62" s="67"/>
      <c r="AN62" s="70"/>
    </row>
    <row r="63" spans="1:40" s="71" customFormat="1" ht="18" customHeight="1" x14ac:dyDescent="0.3">
      <c r="A63" s="64">
        <v>56</v>
      </c>
      <c r="B63" s="65">
        <v>46237</v>
      </c>
      <c r="C63" s="7" t="s">
        <v>296</v>
      </c>
      <c r="D63" s="7" t="s">
        <v>222</v>
      </c>
      <c r="E63" s="7" t="s">
        <v>48</v>
      </c>
      <c r="F63" s="7" t="s">
        <v>297</v>
      </c>
      <c r="G63" s="45" t="s">
        <v>224</v>
      </c>
      <c r="H63" s="6" t="s">
        <v>298</v>
      </c>
      <c r="I63" s="6" t="s">
        <v>299</v>
      </c>
      <c r="J63" s="6" t="s">
        <v>227</v>
      </c>
      <c r="K63" s="6" t="s">
        <v>300</v>
      </c>
      <c r="L63" s="6" t="s">
        <v>40</v>
      </c>
      <c r="M63" s="6" t="s">
        <v>72</v>
      </c>
      <c r="N63" s="7" t="s">
        <v>301</v>
      </c>
      <c r="O63" s="7" t="s">
        <v>302</v>
      </c>
      <c r="P63" s="66">
        <v>40</v>
      </c>
      <c r="Q63" s="29">
        <f t="shared" si="0"/>
        <v>94954.954953999986</v>
      </c>
      <c r="R63" s="29">
        <f t="shared" si="1"/>
        <v>105399.99999893999</v>
      </c>
      <c r="S63" s="36">
        <v>131749.99999867499</v>
      </c>
      <c r="T63" s="66">
        <v>0</v>
      </c>
      <c r="U63" s="29">
        <f>(P63*Q63)-(P63*Q63*T63)</f>
        <v>3798198.1981599992</v>
      </c>
      <c r="V63" s="29">
        <f t="shared" si="2"/>
        <v>3481681.681646666</v>
      </c>
      <c r="W63" s="66">
        <v>12</v>
      </c>
      <c r="X63" s="48">
        <f t="shared" si="3"/>
        <v>417801.80179759994</v>
      </c>
      <c r="Y63" s="29">
        <f>(P63*R63)-(P63*R63*T63)</f>
        <v>4215999.9999575997</v>
      </c>
      <c r="Z63" s="66">
        <v>11055999.9998176</v>
      </c>
      <c r="AA63" s="49">
        <f t="shared" si="4"/>
        <v>5269999.9999469994</v>
      </c>
      <c r="AB63" s="67"/>
      <c r="AC63" s="67"/>
      <c r="AD63" s="67"/>
      <c r="AE63" s="67"/>
      <c r="AF63" s="68"/>
      <c r="AG63" s="67"/>
      <c r="AH63" s="67"/>
      <c r="AI63" s="69"/>
      <c r="AJ63" s="69"/>
      <c r="AK63" s="67"/>
      <c r="AL63" s="67"/>
      <c r="AM63" s="67"/>
      <c r="AN63" s="70"/>
    </row>
    <row r="64" spans="1:40" s="71" customFormat="1" ht="18" customHeight="1" x14ac:dyDescent="0.3">
      <c r="A64" s="64">
        <v>57</v>
      </c>
      <c r="B64" s="65">
        <v>46237</v>
      </c>
      <c r="C64" s="7" t="s">
        <v>296</v>
      </c>
      <c r="D64" s="7" t="s">
        <v>222</v>
      </c>
      <c r="E64" s="7" t="s">
        <v>48</v>
      </c>
      <c r="F64" s="7" t="s">
        <v>297</v>
      </c>
      <c r="G64" s="45" t="s">
        <v>224</v>
      </c>
      <c r="H64" s="6" t="s">
        <v>298</v>
      </c>
      <c r="I64" s="6" t="s">
        <v>299</v>
      </c>
      <c r="J64" s="6" t="s">
        <v>227</v>
      </c>
      <c r="K64" s="6" t="s">
        <v>300</v>
      </c>
      <c r="L64" s="6" t="s">
        <v>40</v>
      </c>
      <c r="M64" s="6" t="s">
        <v>72</v>
      </c>
      <c r="N64" s="7" t="s">
        <v>303</v>
      </c>
      <c r="O64" s="7" t="s">
        <v>304</v>
      </c>
      <c r="P64" s="66">
        <v>200</v>
      </c>
      <c r="Q64" s="29">
        <f t="shared" si="0"/>
        <v>30810.810809999999</v>
      </c>
      <c r="R64" s="29">
        <f t="shared" si="1"/>
        <v>34199.9999991</v>
      </c>
      <c r="S64" s="36">
        <v>42749.999998874999</v>
      </c>
      <c r="T64" s="66">
        <v>0</v>
      </c>
      <c r="U64" s="29">
        <f>(P64*Q64)-(P64*Q64*T64)</f>
        <v>6162162.1619999995</v>
      </c>
      <c r="V64" s="29">
        <f t="shared" si="2"/>
        <v>5648648.6484999992</v>
      </c>
      <c r="W64" s="66">
        <v>12</v>
      </c>
      <c r="X64" s="48">
        <f t="shared" si="3"/>
        <v>677837.8378199999</v>
      </c>
      <c r="Y64" s="29">
        <f>(P64*R64)-(P64*R64*T64)</f>
        <v>6839999.9998200005</v>
      </c>
      <c r="Z64" s="66">
        <v>11055999.9998176</v>
      </c>
      <c r="AA64" s="49">
        <f t="shared" si="4"/>
        <v>8549999.9997749999</v>
      </c>
      <c r="AB64" s="67"/>
      <c r="AC64" s="67"/>
      <c r="AD64" s="67"/>
      <c r="AE64" s="67"/>
      <c r="AF64" s="68"/>
      <c r="AG64" s="67"/>
      <c r="AH64" s="67"/>
      <c r="AI64" s="69"/>
      <c r="AJ64" s="69"/>
      <c r="AK64" s="67"/>
      <c r="AL64" s="67"/>
      <c r="AM64" s="67"/>
      <c r="AN64" s="70"/>
    </row>
    <row r="65" spans="1:40" s="71" customFormat="1" ht="18" customHeight="1" x14ac:dyDescent="0.3">
      <c r="A65" s="64">
        <v>58</v>
      </c>
      <c r="B65" s="65">
        <v>46237</v>
      </c>
      <c r="C65" s="7" t="s">
        <v>305</v>
      </c>
      <c r="D65" s="7" t="s">
        <v>258</v>
      </c>
      <c r="E65" s="7" t="s">
        <v>33</v>
      </c>
      <c r="F65" s="7" t="s">
        <v>306</v>
      </c>
      <c r="G65" s="45" t="s">
        <v>35</v>
      </c>
      <c r="H65" s="6" t="s">
        <v>307</v>
      </c>
      <c r="I65" s="6" t="s">
        <v>308</v>
      </c>
      <c r="J65" s="6" t="s">
        <v>38</v>
      </c>
      <c r="K65" s="6" t="s">
        <v>309</v>
      </c>
      <c r="L65" s="6" t="s">
        <v>40</v>
      </c>
      <c r="M65" s="6" t="s">
        <v>72</v>
      </c>
      <c r="N65" s="7" t="s">
        <v>211</v>
      </c>
      <c r="O65" s="7" t="s">
        <v>212</v>
      </c>
      <c r="P65" s="66">
        <v>400</v>
      </c>
      <c r="Q65" s="29">
        <f t="shared" si="0"/>
        <v>34234.234234000003</v>
      </c>
      <c r="R65" s="29">
        <f t="shared" si="1"/>
        <v>37999.999999740008</v>
      </c>
      <c r="S65" s="36">
        <v>47499.999999675012</v>
      </c>
      <c r="T65" s="66">
        <v>0</v>
      </c>
      <c r="U65" s="29">
        <f>(P65*Q65)-(P65*Q65*T65)</f>
        <v>13693693.693600001</v>
      </c>
      <c r="V65" s="29">
        <f t="shared" si="2"/>
        <v>12552552.552466666</v>
      </c>
      <c r="W65" s="66">
        <v>12</v>
      </c>
      <c r="X65" s="48">
        <f t="shared" si="3"/>
        <v>1506306.3062959998</v>
      </c>
      <c r="Y65" s="29">
        <f>(P65*R65)-(P65*R65*T65)</f>
        <v>15199999.999896003</v>
      </c>
      <c r="Z65" s="66">
        <v>15199999.999895999</v>
      </c>
      <c r="AA65" s="49">
        <f t="shared" si="4"/>
        <v>18999999.999870002</v>
      </c>
      <c r="AB65" s="67"/>
      <c r="AC65" s="67"/>
      <c r="AD65" s="67"/>
      <c r="AE65" s="67"/>
      <c r="AF65" s="68"/>
      <c r="AG65" s="67"/>
      <c r="AH65" s="67"/>
      <c r="AI65" s="69"/>
      <c r="AJ65" s="69"/>
      <c r="AK65" s="67"/>
      <c r="AL65" s="67"/>
      <c r="AM65" s="67"/>
      <c r="AN65" s="70"/>
    </row>
    <row r="66" spans="1:40" s="71" customFormat="1" ht="18" customHeight="1" x14ac:dyDescent="0.3">
      <c r="A66" s="64">
        <v>59</v>
      </c>
      <c r="B66" s="65">
        <v>46237</v>
      </c>
      <c r="C66" s="7" t="s">
        <v>310</v>
      </c>
      <c r="D66" s="7" t="s">
        <v>311</v>
      </c>
      <c r="E66" s="7" t="s">
        <v>33</v>
      </c>
      <c r="F66" s="7" t="s">
        <v>312</v>
      </c>
      <c r="G66" s="45" t="s">
        <v>313</v>
      </c>
      <c r="H66" s="6" t="s">
        <v>314</v>
      </c>
      <c r="I66" s="6" t="s">
        <v>315</v>
      </c>
      <c r="J66" s="6" t="s">
        <v>38</v>
      </c>
      <c r="K66" s="6" t="s">
        <v>316</v>
      </c>
      <c r="L66" s="6" t="s">
        <v>40</v>
      </c>
      <c r="M66" s="6" t="s">
        <v>55</v>
      </c>
      <c r="N66" s="7" t="s">
        <v>317</v>
      </c>
      <c r="O66" s="7" t="s">
        <v>318</v>
      </c>
      <c r="P66" s="66">
        <v>200</v>
      </c>
      <c r="Q66" s="29">
        <f t="shared" si="0"/>
        <v>94000</v>
      </c>
      <c r="R66" s="29">
        <f t="shared" si="1"/>
        <v>94000</v>
      </c>
      <c r="S66" s="36">
        <v>117500</v>
      </c>
      <c r="T66" s="66">
        <v>0</v>
      </c>
      <c r="U66" s="29">
        <f>(P66*Q66)-(P66*Q66*T66)</f>
        <v>18800000</v>
      </c>
      <c r="V66" s="29">
        <f t="shared" si="2"/>
        <v>17233333.333333332</v>
      </c>
      <c r="W66" s="66">
        <v>0</v>
      </c>
      <c r="X66" s="48">
        <f t="shared" si="3"/>
        <v>0</v>
      </c>
      <c r="Y66" s="29">
        <f>(P66*R66)-(P66*R66*T66)</f>
        <v>18800000</v>
      </c>
      <c r="Z66" s="66">
        <v>18800000</v>
      </c>
      <c r="AA66" s="49">
        <f t="shared" si="4"/>
        <v>23500000</v>
      </c>
      <c r="AB66" s="67"/>
      <c r="AC66" s="67"/>
      <c r="AD66" s="67"/>
      <c r="AE66" s="67"/>
      <c r="AF66" s="68"/>
      <c r="AG66" s="67"/>
      <c r="AH66" s="67"/>
      <c r="AI66" s="69"/>
      <c r="AJ66" s="69"/>
      <c r="AK66" s="67"/>
      <c r="AL66" s="67"/>
      <c r="AM66" s="67"/>
      <c r="AN66" s="7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Anang Prayoga</dc:creator>
  <cp:lastModifiedBy>Anang Prayoga</cp:lastModifiedBy>
  <dcterms:created xsi:type="dcterms:W3CDTF">2026-09-23T14:38:33Z</dcterms:created>
  <dcterms:modified xsi:type="dcterms:W3CDTF">2026-09-23T14:38:53Z</dcterms:modified>
</cp:coreProperties>
</file>